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earch Dashboard" sheetId="1" state="visible" r:id="rId3"/>
    <sheet name="Research Data" sheetId="2" state="visible" r:id="rId4"/>
    <sheet name="Country Summary" sheetId="3" state="visible" r:id="rId5"/>
    <sheet name="Year Trend Analysis" sheetId="4" state="visible" r:id="rId6"/>
    <sheet name="Data Quality Repor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<sst xmlns="http://schemas.openxmlformats.org/spreadsheetml/2006/main" count="1370" uniqueCount="74">
  <si>
    <t xml:space="preserve">🔬  ECONOMIC RESEARCH DATA ANALYSIS DASHBOARD  |  10 COUNTRIES  |  2021-2024</t>
  </si>
  <si>
    <t xml:space="preserve">Prepared by: Omer Abdalla  |  Data Analyst &amp; Banking Professional  |  June 2026</t>
  </si>
  <si>
    <t xml:space="preserve">Total Records</t>
  </si>
  <si>
    <t xml:space="preserve">Countries Covered</t>
  </si>
  <si>
    <t xml:space="preserve">Years Analyzed</t>
  </si>
  <si>
    <t xml:space="preserve">Avg GDP Growth</t>
  </si>
  <si>
    <t xml:space="preserve">Total FDI ($M)</t>
  </si>
  <si>
    <t xml:space="preserve">Avg HDI Score</t>
  </si>
  <si>
    <t xml:space="preserve">TOP COUNTRIES — FDI &amp; INVESTMENT SCORE</t>
  </si>
  <si>
    <t xml:space="preserve">YEAR-ON-YEAR ECONOMIC TRENDS</t>
  </si>
  <si>
    <t xml:space="preserve">Country</t>
  </si>
  <si>
    <t xml:space="preserve">Avg GDP %</t>
  </si>
  <si>
    <t xml:space="preserve">Avg HDI</t>
  </si>
  <si>
    <t xml:space="preserve">Inv. Score</t>
  </si>
  <si>
    <t xml:space="preserve">Year</t>
  </si>
  <si>
    <t xml:space="preserve">Avg Inflation %</t>
  </si>
  <si>
    <t xml:space="preserve">© 2026 Omer Abdalla | Research Data Analysis | github.com/3mor9411</t>
  </si>
  <si>
    <t xml:space="preserve">Sector</t>
  </si>
  <si>
    <t xml:space="preserve">GDP Growth (%)</t>
  </si>
  <si>
    <t xml:space="preserve">Inflation (%)</t>
  </si>
  <si>
    <t xml:space="preserve">Unemployment (%)</t>
  </si>
  <si>
    <t xml:space="preserve">FDI Inflow ($M)</t>
  </si>
  <si>
    <t xml:space="preserve">Trade Balance ($M)</t>
  </si>
  <si>
    <t xml:space="preserve">Public Debt (% GDP)</t>
  </si>
  <si>
    <t xml:space="preserve">HDI Score</t>
  </si>
  <si>
    <t xml:space="preserve">Investment Score</t>
  </si>
  <si>
    <t xml:space="preserve">Risk Rating</t>
  </si>
  <si>
    <t xml:space="preserve">Data Quality</t>
  </si>
  <si>
    <t xml:space="preserve">Sudan</t>
  </si>
  <si>
    <t xml:space="preserve">Banking</t>
  </si>
  <si>
    <t xml:space="preserve">Low Risk</t>
  </si>
  <si>
    <t xml:space="preserve">Excellent</t>
  </si>
  <si>
    <t xml:space="preserve">Poor</t>
  </si>
  <si>
    <t xml:space="preserve">Healthcare</t>
  </si>
  <si>
    <t xml:space="preserve">High Risk</t>
  </si>
  <si>
    <t xml:space="preserve">Good</t>
  </si>
  <si>
    <t xml:space="preserve">Education</t>
  </si>
  <si>
    <t xml:space="preserve">Agriculture</t>
  </si>
  <si>
    <t xml:space="preserve">Fair</t>
  </si>
  <si>
    <t xml:space="preserve">Moderate</t>
  </si>
  <si>
    <t xml:space="preserve">Technology</t>
  </si>
  <si>
    <t xml:space="preserve">Energy</t>
  </si>
  <si>
    <t xml:space="preserve">Manufacturing</t>
  </si>
  <si>
    <t xml:space="preserve">Retail</t>
  </si>
  <si>
    <t xml:space="preserve">Egypt</t>
  </si>
  <si>
    <t xml:space="preserve">UAE</t>
  </si>
  <si>
    <t xml:space="preserve">Saudi Arabia</t>
  </si>
  <si>
    <t xml:space="preserve">Jordan</t>
  </si>
  <si>
    <t xml:space="preserve">Morocco</t>
  </si>
  <si>
    <t xml:space="preserve">Tunisia</t>
  </si>
  <si>
    <t xml:space="preserve">Algeria</t>
  </si>
  <si>
    <t xml:space="preserve">Kuwait</t>
  </si>
  <si>
    <t xml:space="preserve">Qatar</t>
  </si>
  <si>
    <t xml:space="preserve">🌍  ECONOMIC INDICATORS BY COUNTRY — RESEARCH SUMMARY 2021-2024</t>
  </si>
  <si>
    <t xml:space="preserve">Average economic indicators across all sectors and years | Analyst: Omer Abdalla</t>
  </si>
  <si>
    <t xml:space="preserve">Avg Inflation</t>
  </si>
  <si>
    <t xml:space="preserve">Avg Unemployment</t>
  </si>
  <si>
    <t xml:space="preserve">Avg Investment Score</t>
  </si>
  <si>
    <t xml:space="preserve">Data Points</t>
  </si>
  <si>
    <t xml:space="preserve">AVERAGE/TOTAL</t>
  </si>
  <si>
    <t xml:space="preserve">📈  YEAR-ON-YEAR TREND ANALYSIS — 2021 TO 2024</t>
  </si>
  <si>
    <t xml:space="preserve">Tracking macroeconomic indicators over 4 years across all countries</t>
  </si>
  <si>
    <t xml:space="preserve">Total Data Points</t>
  </si>
  <si>
    <t xml:space="preserve">YEAR-ON-YEAR CHANGE ANALYSIS</t>
  </si>
  <si>
    <t xml:space="preserve">Metric</t>
  </si>
  <si>
    <t xml:space="preserve">2022 vs 2021</t>
  </si>
  <si>
    <t xml:space="preserve">2023 vs 2022</t>
  </si>
  <si>
    <t xml:space="preserve">2024 vs 2023</t>
  </si>
  <si>
    <t xml:space="preserve">GDP Growth</t>
  </si>
  <si>
    <t xml:space="preserve">Inflation</t>
  </si>
  <si>
    <t xml:space="preserve">Unemployment</t>
  </si>
  <si>
    <t xml:space="preserve">HDI</t>
  </si>
  <si>
    <t xml:space="preserve">🔍  DATA QUALITY &amp; COMPLETENESS REPORT</t>
  </si>
  <si>
    <t xml:space="preserve">Assessing data completeness, accuracy ratings and coverage by country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</si>
</sst>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0"/>
    <numFmt numFmtId="167" formatCode="0.000"/>
    <numFmt numFmtId="168" formatCode="General"/>
    <numFmt numFmtId="169" formatCode="#,##0.0"/>
    <numFmt numFmtId="170" formatCode="\+0.00;\-0.00;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6"/>
      <color rgb="FF17375E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7375E"/>
        <bgColor rgb="FF1E4620"/>
      </patternFill>
    </fill>
    <fill>
      <patternFill patternType="solid">
        <fgColor rgb="FF2E75B6"/>
        <bgColor rgb="FF4A7EBB"/>
      </patternFill>
    </fill>
    <fill>
      <patternFill patternType="solid">
        <fgColor rgb="FF375623"/>
        <bgColor rgb="FF1E4620"/>
      </patternFill>
    </fill>
    <fill>
      <patternFill patternType="solid">
        <fgColor rgb="FFED7D31"/>
        <bgColor rgb="FFFF8080"/>
      </patternFill>
    </fill>
    <fill>
      <patternFill patternType="solid">
        <fgColor rgb="FF1E4620"/>
        <bgColor rgb="FF375623"/>
      </patternFill>
    </fill>
    <fill>
      <patternFill patternType="solid">
        <fgColor rgb="FF7030A0"/>
        <bgColor rgb="FF333399"/>
      </patternFill>
    </fill>
    <fill>
      <patternFill patternType="solid">
        <fgColor rgb="FFE2EFDA"/>
        <bgColor rgb="FFDEEAF1"/>
      </patternFill>
    </fill>
    <fill>
      <patternFill patternType="solid">
        <fgColor rgb="FFFFFFFF"/>
        <bgColor rgb="FFF9F9F9"/>
      </patternFill>
    </fill>
    <fill>
      <patternFill patternType="solid">
        <fgColor rgb="FFDEEAF1"/>
        <bgColor rgb="FFE2EFDA"/>
      </patternFill>
    </fill>
    <fill>
      <patternFill patternType="solid">
        <fgColor rgb="FFF2F2F2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8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8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BE4B48"/>
      <rgbColor rgb="FFF9F9F9"/>
      <rgbColor rgb="FFDEEA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4A7EBB"/>
      <rgbColor rgb="FF969696"/>
      <rgbColor rgb="FF17375E"/>
      <rgbColor rgb="FF4F81BD"/>
      <rgbColor rgb="FF003300"/>
      <rgbColor rgb="FF375623"/>
      <rgbColor rgb="FF993300"/>
      <rgbColor rgb="FF7030A0"/>
      <rgbColor rgb="FF333399"/>
      <rgbColor rgb="FF1E46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FDI Inflow by Country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'Country Summary'!E4</c:f>
              <c:strCache>
                <c:ptCount val="1"/>
                <c:pt idx="0">
                  <c:v>Total FDI ($M)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'Country Summary'!$A$5:$A$14</c:f>
              <c:strCache>
                <c:ptCount val="10"/>
                <c:pt idx="0">
                  <c:v>Sudan</c:v>
                </c:pt>
                <c:pt idx="1">
                  <c:v>Egypt</c:v>
                </c:pt>
                <c:pt idx="2">
                  <c:v>UAE</c:v>
                </c:pt>
                <c:pt idx="3">
                  <c:v>Saudi Arabia</c:v>
                </c:pt>
                <c:pt idx="4">
                  <c:v>Jordan</c:v>
                </c:pt>
                <c:pt idx="5">
                  <c:v>Morocco</c:v>
                </c:pt>
                <c:pt idx="6">
                  <c:v>Tunisia</c:v>
                </c:pt>
                <c:pt idx="7">
                  <c:v>Algeria</c:v>
                </c:pt>
                <c:pt idx="8">
                  <c:v>Kuwait</c:v>
                </c:pt>
                <c:pt idx="9">
                  <c:v>Qatar</c:v>
                </c:pt>
              </c:strCache>
            </c:strRef>
          </c:cat>
          <c:val>
            <c:numRef>
              <c:f>'Country Summary'!$E$5:$E$14</c:f>
              <c:numCache>
                <c:formatCode>#,##0</c:formatCode>
                <c:ptCount val="10"/>
                <c:pt idx="0">
                  <c:v>30675.6</c:v>
                </c:pt>
                <c:pt idx="1">
                  <c:v>31367</c:v>
                </c:pt>
                <c:pt idx="2">
                  <c:v>26075.4</c:v>
                </c:pt>
                <c:pt idx="3">
                  <c:v>29641.6</c:v>
                </c:pt>
                <c:pt idx="4">
                  <c:v>35085.2</c:v>
                </c:pt>
                <c:pt idx="5">
                  <c:v>24086.6</c:v>
                </c:pt>
                <c:pt idx="6">
                  <c:v>31805</c:v>
                </c:pt>
                <c:pt idx="7">
                  <c:v>28051</c:v>
                </c:pt>
                <c:pt idx="8">
                  <c:v>30628.8</c:v>
                </c:pt>
                <c:pt idx="9">
                  <c:v>35873.5</c:v>
                </c:pt>
              </c:numCache>
            </c:numRef>
          </c:val>
        </c:ser>
        <c:gapWidth val="150"/>
        <c:overlap val="0"/>
        <c:axId val="82467209"/>
        <c:axId val="77785701"/>
      </c:barChart>
      <c:catAx>
        <c:axId val="824672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785701"/>
        <c:crosses val="autoZero"/>
        <c:auto val="1"/>
        <c:lblAlgn val="ctr"/>
        <c:lblOffset val="100"/>
        <c:noMultiLvlLbl val="0"/>
      </c:catAx>
      <c:valAx>
        <c:axId val="777857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4672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GDP Growth &amp; Inflation Trends (2021-2024)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'Year Trend Analysis'!B4</c:f>
              <c:strCache>
                <c:ptCount val="1"/>
                <c:pt idx="0">
                  <c:v>Avg GDP Growth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Trend Analysis'!$A$5:$A$8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'Year Trend Analysis'!$B$5:$B$8</c:f>
              <c:numCache>
                <c:formatCode>0.00</c:formatCode>
                <c:ptCount val="4"/>
                <c:pt idx="0">
                  <c:v>3.379</c:v>
                </c:pt>
                <c:pt idx="1">
                  <c:v>2.443375</c:v>
                </c:pt>
                <c:pt idx="2">
                  <c:v>3.450125</c:v>
                </c:pt>
                <c:pt idx="3">
                  <c:v>2.97475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'Year Trend Analysis'!C4</c:f>
              <c:strCache>
                <c:ptCount val="1"/>
                <c:pt idx="0">
                  <c:v>Avg Inflation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Trend Analysis'!$A$5:$A$8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'Year Trend Analysis'!$C$5:$C$8</c:f>
              <c:numCache>
                <c:formatCode>0.00</c:formatCode>
                <c:ptCount val="4"/>
                <c:pt idx="0">
                  <c:v>9.177875</c:v>
                </c:pt>
                <c:pt idx="1">
                  <c:v>10.085875</c:v>
                </c:pt>
                <c:pt idx="2">
                  <c:v>10.6305</c:v>
                </c:pt>
                <c:pt idx="3">
                  <c:v>8.8585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8372584"/>
        <c:axId val="78581795"/>
      </c:lineChart>
      <c:catAx>
        <c:axId val="28372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581795"/>
        <c:crosses val="autoZero"/>
        <c:auto val="1"/>
        <c:lblAlgn val="ctr"/>
        <c:lblOffset val="100"/>
        <c:noMultiLvlLbl val="0"/>
      </c:catAx>
      <c:valAx>
        <c:axId val="785817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3725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0</xdr:rowOff>
    </xdr:from>
    <xdr:to>
      <xdr:col>7</xdr:col>
      <xdr:colOff>377640</xdr:colOff>
      <xdr:row>42</xdr:row>
      <xdr:rowOff>86400</xdr:rowOff>
    </xdr:to>
    <xdr:graphicFrame>
      <xdr:nvGraphicFramePr>
        <xdr:cNvPr id="0" name="Chart 1"/>
        <xdr:cNvGraphicFramePr/>
      </xdr:nvGraphicFramePr>
      <xdr:xfrm>
        <a:off x="0" y="366696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0</xdr:rowOff>
    </xdr:from>
    <xdr:to>
      <xdr:col>7</xdr:col>
      <xdr:colOff>362520</xdr:colOff>
      <xdr:row>32</xdr:row>
      <xdr:rowOff>128880</xdr:rowOff>
    </xdr:to>
    <xdr:graphicFrame>
      <xdr:nvGraphicFramePr>
        <xdr:cNvPr id="1" name="Chart 1"/>
        <xdr:cNvGraphicFramePr/>
      </xdr:nvGraphicFramePr>
      <xdr:xfrm>
        <a:off x="0" y="271476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3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1.75" hidden="false" customHeight="true" outlineLevel="0" collapsed="false">
      <c r="A4" s="3" t="s">
        <v>2</v>
      </c>
      <c r="B4" s="3"/>
      <c r="C4" s="4" t="s">
        <v>3</v>
      </c>
      <c r="D4" s="4"/>
      <c r="E4" s="5" t="s">
        <v>4</v>
      </c>
      <c r="F4" s="5"/>
      <c r="G4" s="6" t="s">
        <v>5</v>
      </c>
      <c r="H4" s="6"/>
      <c r="I4" s="7" t="s">
        <v>6</v>
      </c>
      <c r="J4" s="7"/>
      <c r="K4" s="8" t="s">
        <v>7</v>
      </c>
      <c r="L4" s="8"/>
    </row>
    <row r="5" customFormat="false" ht="25.5" hidden="false" customHeight="true" outlineLevel="0" collapsed="false">
      <c r="A5" s="9" t="n">
        <f aca="false">COUNTA('Research Data'!A2:A321)</f>
        <v>320</v>
      </c>
      <c r="B5" s="9"/>
      <c r="C5" s="9" t="n">
        <f aca="false">COUNTA('Country Summary'!A5:A14)</f>
        <v>10</v>
      </c>
      <c r="D5" s="9"/>
      <c r="E5" s="9" t="n">
        <f aca="false">COUNTA('Year Trend Analysis'!A5:A8)</f>
        <v>4</v>
      </c>
      <c r="F5" s="9"/>
      <c r="G5" s="10" t="n">
        <f aca="false">AVERAGE('Research Data'!D2:D321)</f>
        <v>3.0618125</v>
      </c>
      <c r="H5" s="10"/>
      <c r="I5" s="9" t="n">
        <f aca="false">SUM('Research Data'!G2:G321)</f>
        <v>303289.7</v>
      </c>
      <c r="J5" s="9"/>
      <c r="K5" s="11" t="n">
        <f aca="false">AVERAGE('Research Data'!J2:J321)</f>
        <v>0.67288125</v>
      </c>
      <c r="L5" s="11"/>
    </row>
    <row r="6" customFormat="false" ht="25.5" hidden="false" customHeight="true" outlineLevel="0" collapsed="false">
      <c r="A6" s="9"/>
      <c r="B6" s="9"/>
      <c r="C6" s="9"/>
      <c r="D6" s="9"/>
      <c r="E6" s="9"/>
      <c r="F6" s="9"/>
      <c r="G6" s="10"/>
      <c r="H6" s="10"/>
      <c r="I6" s="9"/>
      <c r="J6" s="9"/>
      <c r="K6" s="11"/>
      <c r="L6" s="11"/>
    </row>
    <row r="7" customFormat="false" ht="9.75" hidden="false" customHeight="true" outlineLevel="0" collapsed="false"/>
    <row r="8" customFormat="false" ht="15" hidden="false" customHeight="false" outlineLevel="0" collapsed="false">
      <c r="A8" s="12" t="s">
        <v>8</v>
      </c>
      <c r="B8" s="12"/>
      <c r="C8" s="12"/>
      <c r="D8" s="12"/>
      <c r="E8" s="12"/>
      <c r="G8" s="12" t="s">
        <v>9</v>
      </c>
      <c r="H8" s="12"/>
      <c r="I8" s="12"/>
      <c r="J8" s="12"/>
    </row>
    <row r="9" customFormat="false" ht="15" hidden="false" customHeight="false" outlineLevel="0" collapsed="false">
      <c r="A9" s="13" t="s">
        <v>10</v>
      </c>
      <c r="B9" s="13" t="s">
        <v>11</v>
      </c>
      <c r="C9" s="13" t="s">
        <v>6</v>
      </c>
      <c r="D9" s="13" t="s">
        <v>12</v>
      </c>
      <c r="E9" s="13" t="s">
        <v>13</v>
      </c>
      <c r="G9" s="13" t="s">
        <v>14</v>
      </c>
      <c r="H9" s="13" t="s">
        <v>11</v>
      </c>
      <c r="I9" s="13" t="s">
        <v>15</v>
      </c>
      <c r="J9" s="13" t="s">
        <v>12</v>
      </c>
    </row>
    <row r="10" customFormat="false" ht="15" hidden="false" customHeight="false" outlineLevel="0" collapsed="false">
      <c r="A10" s="14" t="str">
        <f aca="false">'Country Summary'!A5</f>
        <v>Sudan</v>
      </c>
      <c r="B10" s="15" t="n">
        <f aca="false">'Country Summary'!B5</f>
        <v>3.4171875</v>
      </c>
      <c r="C10" s="16" t="n">
        <f aca="false">'Country Summary'!E5</f>
        <v>30675.6</v>
      </c>
      <c r="D10" s="17" t="n">
        <f aca="false">'Country Summary'!F5</f>
        <v>0.68109375</v>
      </c>
      <c r="E10" s="15" t="n">
        <f aca="false">'Country Summary'!G5</f>
        <v>2.269375</v>
      </c>
      <c r="G10" s="18" t="n">
        <f aca="false">'Year Trend Analysis'!A5</f>
        <v>2021</v>
      </c>
      <c r="H10" s="19" t="n">
        <f aca="false">'Year Trend Analysis'!B5</f>
        <v>3.379</v>
      </c>
      <c r="I10" s="19" t="n">
        <f aca="false">'Year Trend Analysis'!C5</f>
        <v>9.177875</v>
      </c>
      <c r="J10" s="20" t="n">
        <f aca="false">'Year Trend Analysis'!F5</f>
        <v>0.671775</v>
      </c>
    </row>
    <row r="11" customFormat="false" ht="15" hidden="false" customHeight="false" outlineLevel="0" collapsed="false">
      <c r="A11" s="21" t="str">
        <f aca="false">'Country Summary'!A6</f>
        <v>Egypt</v>
      </c>
      <c r="B11" s="22" t="n">
        <f aca="false">'Country Summary'!B6</f>
        <v>3.0453125</v>
      </c>
      <c r="C11" s="23" t="n">
        <f aca="false">'Country Summary'!E6</f>
        <v>31367</v>
      </c>
      <c r="D11" s="24" t="n">
        <f aca="false">'Country Summary'!F6</f>
        <v>0.6533125</v>
      </c>
      <c r="E11" s="22" t="n">
        <f aca="false">'Country Summary'!G6</f>
        <v>2.3525</v>
      </c>
      <c r="G11" s="25" t="n">
        <f aca="false">'Year Trend Analysis'!A6</f>
        <v>2022</v>
      </c>
      <c r="H11" s="26" t="n">
        <f aca="false">'Year Trend Analysis'!B6</f>
        <v>2.443375</v>
      </c>
      <c r="I11" s="26" t="n">
        <f aca="false">'Year Trend Analysis'!C6</f>
        <v>10.085875</v>
      </c>
      <c r="J11" s="27" t="n">
        <f aca="false">'Year Trend Analysis'!F6</f>
        <v>0.6785</v>
      </c>
    </row>
    <row r="12" customFormat="false" ht="15" hidden="false" customHeight="false" outlineLevel="0" collapsed="false">
      <c r="A12" s="14" t="str">
        <f aca="false">'Country Summary'!A7</f>
        <v>UAE</v>
      </c>
      <c r="B12" s="15" t="n">
        <f aca="false">'Country Summary'!B7</f>
        <v>2.2821875</v>
      </c>
      <c r="C12" s="16" t="n">
        <f aca="false">'Country Summary'!E7</f>
        <v>26075.4</v>
      </c>
      <c r="D12" s="17" t="n">
        <f aca="false">'Country Summary'!F7</f>
        <v>0.69434375</v>
      </c>
      <c r="E12" s="15" t="n">
        <f aca="false">'Country Summary'!G7</f>
        <v>1.2340625</v>
      </c>
      <c r="G12" s="18" t="n">
        <f aca="false">'Year Trend Analysis'!A7</f>
        <v>2023</v>
      </c>
      <c r="H12" s="19" t="n">
        <f aca="false">'Year Trend Analysis'!B7</f>
        <v>3.450125</v>
      </c>
      <c r="I12" s="19" t="n">
        <f aca="false">'Year Trend Analysis'!C7</f>
        <v>10.6305</v>
      </c>
      <c r="J12" s="20" t="n">
        <f aca="false">'Year Trend Analysis'!F7</f>
        <v>0.677075</v>
      </c>
    </row>
    <row r="13" customFormat="false" ht="15" hidden="false" customHeight="false" outlineLevel="0" collapsed="false">
      <c r="A13" s="21" t="str">
        <f aca="false">'Country Summary'!A8</f>
        <v>Saudi Arabia</v>
      </c>
      <c r="B13" s="22" t="n">
        <f aca="false">'Country Summary'!B8</f>
        <v>2.788125</v>
      </c>
      <c r="C13" s="23" t="n">
        <f aca="false">'Country Summary'!E8</f>
        <v>29641.6</v>
      </c>
      <c r="D13" s="24" t="n">
        <f aca="false">'Country Summary'!F8</f>
        <v>0.66546875</v>
      </c>
      <c r="E13" s="22" t="n">
        <f aca="false">'Country Summary'!G8</f>
        <v>1.9128125</v>
      </c>
      <c r="G13" s="25" t="n">
        <f aca="false">'Year Trend Analysis'!A8</f>
        <v>2024</v>
      </c>
      <c r="H13" s="26" t="n">
        <f aca="false">'Year Trend Analysis'!B8</f>
        <v>2.97475</v>
      </c>
      <c r="I13" s="26" t="n">
        <f aca="false">'Year Trend Analysis'!C8</f>
        <v>8.8585</v>
      </c>
      <c r="J13" s="27" t="n">
        <f aca="false">'Year Trend Analysis'!F8</f>
        <v>0.664175</v>
      </c>
    </row>
    <row r="14" customFormat="false" ht="15" hidden="false" customHeight="false" outlineLevel="0" collapsed="false">
      <c r="A14" s="14" t="str">
        <f aca="false">'Country Summary'!A9</f>
        <v>Jordan</v>
      </c>
      <c r="B14" s="15" t="n">
        <f aca="false">'Country Summary'!B9</f>
        <v>3.119375</v>
      </c>
      <c r="C14" s="16" t="n">
        <f aca="false">'Country Summary'!E9</f>
        <v>35085.2</v>
      </c>
      <c r="D14" s="17" t="n">
        <f aca="false">'Country Summary'!F9</f>
        <v>0.65640625</v>
      </c>
      <c r="E14" s="15" t="n">
        <f aca="false">'Country Summary'!G9</f>
        <v>2.445625</v>
      </c>
    </row>
    <row r="15" customFormat="false" ht="15" hidden="false" customHeight="false" outlineLevel="0" collapsed="false">
      <c r="A15" s="21" t="str">
        <f aca="false">'Country Summary'!A10</f>
        <v>Morocco</v>
      </c>
      <c r="B15" s="22" t="n">
        <f aca="false">'Country Summary'!B10</f>
        <v>3.2140625</v>
      </c>
      <c r="C15" s="23" t="n">
        <f aca="false">'Country Summary'!E10</f>
        <v>24086.6</v>
      </c>
      <c r="D15" s="24" t="n">
        <f aca="false">'Country Summary'!F10</f>
        <v>0.63953125</v>
      </c>
      <c r="E15" s="22" t="n">
        <f aca="false">'Country Summary'!G10</f>
        <v>2.2625</v>
      </c>
    </row>
    <row r="16" customFormat="false" ht="15" hidden="false" customHeight="false" outlineLevel="0" collapsed="false">
      <c r="A16" s="14" t="str">
        <f aca="false">'Country Summary'!A11</f>
        <v>Tunisia</v>
      </c>
      <c r="B16" s="15" t="n">
        <f aca="false">'Country Summary'!B11</f>
        <v>3.261875</v>
      </c>
      <c r="C16" s="16" t="n">
        <f aca="false">'Country Summary'!E11</f>
        <v>31805</v>
      </c>
      <c r="D16" s="17" t="n">
        <f aca="false">'Country Summary'!F11</f>
        <v>0.67715625</v>
      </c>
      <c r="E16" s="15" t="n">
        <f aca="false">'Country Summary'!G11</f>
        <v>1.826875</v>
      </c>
    </row>
    <row r="17" customFormat="false" ht="15" hidden="false" customHeight="false" outlineLevel="0" collapsed="false">
      <c r="A17" s="21" t="str">
        <f aca="false">'Country Summary'!A12</f>
        <v>Algeria</v>
      </c>
      <c r="B17" s="22" t="n">
        <f aca="false">'Country Summary'!B12</f>
        <v>3.646875</v>
      </c>
      <c r="C17" s="23" t="n">
        <f aca="false">'Country Summary'!E12</f>
        <v>28051</v>
      </c>
      <c r="D17" s="24" t="n">
        <f aca="false">'Country Summary'!F12</f>
        <v>0.69071875</v>
      </c>
      <c r="E17" s="22" t="n">
        <f aca="false">'Country Summary'!G12</f>
        <v>2.585</v>
      </c>
    </row>
    <row r="18" customFormat="false" ht="15" hidden="false" customHeight="false" outlineLevel="0" collapsed="false">
      <c r="A18" s="14" t="str">
        <f aca="false">'Country Summary'!A13</f>
        <v>Kuwait</v>
      </c>
      <c r="B18" s="15" t="n">
        <f aca="false">'Country Summary'!B13</f>
        <v>3.563125</v>
      </c>
      <c r="C18" s="16" t="n">
        <f aca="false">'Country Summary'!E13</f>
        <v>30628.8</v>
      </c>
      <c r="D18" s="17" t="n">
        <f aca="false">'Country Summary'!F13</f>
        <v>0.69575</v>
      </c>
      <c r="E18" s="15" t="n">
        <f aca="false">'Country Summary'!G13</f>
        <v>2.498125</v>
      </c>
    </row>
    <row r="19" customFormat="false" ht="15" hidden="false" customHeight="false" outlineLevel="0" collapsed="false">
      <c r="A19" s="21" t="str">
        <f aca="false">'Country Summary'!A14</f>
        <v>Qatar</v>
      </c>
      <c r="B19" s="22" t="n">
        <f aca="false">'Country Summary'!B14</f>
        <v>2.28</v>
      </c>
      <c r="C19" s="23" t="n">
        <f aca="false">'Country Summary'!E14</f>
        <v>35873.5</v>
      </c>
      <c r="D19" s="24" t="n">
        <f aca="false">'Country Summary'!F14</f>
        <v>0.67503125</v>
      </c>
      <c r="E19" s="22" t="n">
        <f aca="false">'Country Summary'!G14</f>
        <v>1.5965625</v>
      </c>
    </row>
    <row r="30" customFormat="false" ht="18" hidden="false" customHeight="true" outlineLevel="0" collapsed="false">
      <c r="A30" s="3" t="s">
        <v>16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</sheetData>
  <mergeCells count="17">
    <mergeCell ref="A1:L1"/>
    <mergeCell ref="A2:L2"/>
    <mergeCell ref="A4:B4"/>
    <mergeCell ref="C4:D4"/>
    <mergeCell ref="E4:F4"/>
    <mergeCell ref="G4:H4"/>
    <mergeCell ref="I4:J4"/>
    <mergeCell ref="K4:L4"/>
    <mergeCell ref="A5:B6"/>
    <mergeCell ref="C5:D6"/>
    <mergeCell ref="E5:F6"/>
    <mergeCell ref="G5:H6"/>
    <mergeCell ref="I5:J6"/>
    <mergeCell ref="K5:L6"/>
    <mergeCell ref="A8:E8"/>
    <mergeCell ref="G8:J8"/>
    <mergeCell ref="A30:L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7" min="6" style="0" width="15"/>
    <col collapsed="false" customWidth="true" hidden="false" outlineLevel="0" max="8" min="8" style="0" width="17"/>
    <col collapsed="false" customWidth="true" hidden="false" outlineLevel="0" max="9" min="9" style="0" width="18"/>
    <col collapsed="false" customWidth="true" hidden="false" outlineLevel="0" max="10" min="10" style="0" width="11"/>
    <col collapsed="false" customWidth="true" hidden="false" outlineLevel="0" max="11" min="11" style="0" width="15"/>
    <col collapsed="false" customWidth="true" hidden="false" outlineLevel="0" max="12" min="12" style="0" width="12"/>
    <col collapsed="false" customWidth="true" hidden="false" outlineLevel="0" max="13" min="13" style="0" width="13"/>
  </cols>
  <sheetData>
    <row r="1" customFormat="false" ht="30" hidden="false" customHeight="true" outlineLevel="0" collapsed="false">
      <c r="A1" s="28" t="s">
        <v>10</v>
      </c>
      <c r="B1" s="28" t="s">
        <v>17</v>
      </c>
      <c r="C1" s="28" t="s">
        <v>14</v>
      </c>
      <c r="D1" s="28" t="s">
        <v>18</v>
      </c>
      <c r="E1" s="28" t="s">
        <v>19</v>
      </c>
      <c r="F1" s="28" t="s">
        <v>20</v>
      </c>
      <c r="G1" s="28" t="s">
        <v>21</v>
      </c>
      <c r="H1" s="28" t="s">
        <v>22</v>
      </c>
      <c r="I1" s="28" t="s">
        <v>23</v>
      </c>
      <c r="J1" s="28" t="s">
        <v>24</v>
      </c>
      <c r="K1" s="28" t="s">
        <v>25</v>
      </c>
      <c r="L1" s="28" t="s">
        <v>26</v>
      </c>
      <c r="M1" s="28" t="s">
        <v>27</v>
      </c>
    </row>
    <row r="2" customFormat="false" ht="15" hidden="false" customHeight="false" outlineLevel="0" collapsed="false">
      <c r="A2" s="29" t="s">
        <v>28</v>
      </c>
      <c r="B2" s="29" t="s">
        <v>29</v>
      </c>
      <c r="C2" s="29" t="n">
        <v>2021</v>
      </c>
      <c r="D2" s="30" t="n">
        <v>2.04</v>
      </c>
      <c r="E2" s="30" t="n">
        <v>5.2</v>
      </c>
      <c r="F2" s="30" t="n">
        <v>6.4</v>
      </c>
      <c r="G2" s="31" t="n">
        <v>534.4</v>
      </c>
      <c r="H2" s="31" t="n">
        <v>1019.8</v>
      </c>
      <c r="I2" s="30" t="n">
        <v>37.6</v>
      </c>
      <c r="J2" s="32" t="n">
        <v>0.615</v>
      </c>
      <c r="K2" s="30" t="n">
        <v>2.73</v>
      </c>
      <c r="L2" s="29" t="s">
        <v>30</v>
      </c>
      <c r="M2" s="29" t="s">
        <v>31</v>
      </c>
    </row>
    <row r="3" customFormat="false" ht="15" hidden="false" customHeight="false" outlineLevel="0" collapsed="false">
      <c r="A3" s="33" t="s">
        <v>28</v>
      </c>
      <c r="B3" s="33" t="s">
        <v>29</v>
      </c>
      <c r="C3" s="33" t="n">
        <v>2022</v>
      </c>
      <c r="D3" s="34" t="n">
        <v>7.38</v>
      </c>
      <c r="E3" s="34" t="n">
        <v>9.83</v>
      </c>
      <c r="F3" s="34" t="n">
        <v>11.01</v>
      </c>
      <c r="G3" s="35" t="n">
        <v>1245.8</v>
      </c>
      <c r="H3" s="35" t="n">
        <v>-66.6</v>
      </c>
      <c r="I3" s="34" t="n">
        <v>83.1</v>
      </c>
      <c r="J3" s="36" t="n">
        <v>0.611</v>
      </c>
      <c r="K3" s="34" t="n">
        <v>4.36</v>
      </c>
      <c r="L3" s="33" t="s">
        <v>30</v>
      </c>
      <c r="M3" s="33" t="s">
        <v>32</v>
      </c>
    </row>
    <row r="4" customFormat="false" ht="15" hidden="false" customHeight="false" outlineLevel="0" collapsed="false">
      <c r="A4" s="29" t="s">
        <v>28</v>
      </c>
      <c r="B4" s="29" t="s">
        <v>29</v>
      </c>
      <c r="C4" s="29" t="n">
        <v>2023</v>
      </c>
      <c r="D4" s="30" t="n">
        <v>6.61</v>
      </c>
      <c r="E4" s="30" t="n">
        <v>5.4</v>
      </c>
      <c r="F4" s="30" t="n">
        <v>11.77</v>
      </c>
      <c r="G4" s="31" t="n">
        <v>399.1</v>
      </c>
      <c r="H4" s="31" t="n">
        <v>633.8</v>
      </c>
      <c r="I4" s="30" t="n">
        <v>25.8</v>
      </c>
      <c r="J4" s="32" t="n">
        <v>0.758</v>
      </c>
      <c r="K4" s="30" t="n">
        <v>4.88</v>
      </c>
      <c r="L4" s="29" t="s">
        <v>30</v>
      </c>
      <c r="M4" s="29" t="s">
        <v>31</v>
      </c>
    </row>
    <row r="5" customFormat="false" ht="15" hidden="false" customHeight="false" outlineLevel="0" collapsed="false">
      <c r="A5" s="33" t="s">
        <v>28</v>
      </c>
      <c r="B5" s="33" t="s">
        <v>29</v>
      </c>
      <c r="C5" s="33" t="n">
        <v>2024</v>
      </c>
      <c r="D5" s="34" t="n">
        <v>2.69</v>
      </c>
      <c r="E5" s="34" t="n">
        <v>8.44</v>
      </c>
      <c r="F5" s="34" t="n">
        <v>8.12</v>
      </c>
      <c r="G5" s="35" t="n">
        <v>64.9</v>
      </c>
      <c r="H5" s="35" t="n">
        <v>-92.5</v>
      </c>
      <c r="I5" s="34" t="n">
        <v>89.3</v>
      </c>
      <c r="J5" s="36" t="n">
        <v>0.68</v>
      </c>
      <c r="K5" s="34" t="n">
        <v>1.85</v>
      </c>
      <c r="L5" s="33" t="s">
        <v>30</v>
      </c>
      <c r="M5" s="33" t="s">
        <v>32</v>
      </c>
    </row>
    <row r="6" customFormat="false" ht="15" hidden="false" customHeight="false" outlineLevel="0" collapsed="false">
      <c r="A6" s="29" t="s">
        <v>28</v>
      </c>
      <c r="B6" s="29" t="s">
        <v>33</v>
      </c>
      <c r="C6" s="29" t="n">
        <v>2021</v>
      </c>
      <c r="D6" s="30" t="n">
        <v>3.19</v>
      </c>
      <c r="E6" s="30" t="n">
        <v>5.17</v>
      </c>
      <c r="F6" s="30" t="n">
        <v>11.79</v>
      </c>
      <c r="G6" s="31" t="n">
        <v>150.1</v>
      </c>
      <c r="H6" s="31" t="n">
        <v>-241.7</v>
      </c>
      <c r="I6" s="30" t="n">
        <v>86.7</v>
      </c>
      <c r="J6" s="32" t="n">
        <v>0.758</v>
      </c>
      <c r="K6" s="30" t="n">
        <v>3.12</v>
      </c>
      <c r="L6" s="29" t="s">
        <v>30</v>
      </c>
      <c r="M6" s="29" t="s">
        <v>32</v>
      </c>
    </row>
    <row r="7" customFormat="false" ht="15" hidden="false" customHeight="false" outlineLevel="0" collapsed="false">
      <c r="A7" s="33" t="s">
        <v>28</v>
      </c>
      <c r="B7" s="33" t="s">
        <v>33</v>
      </c>
      <c r="C7" s="33" t="n">
        <v>2022</v>
      </c>
      <c r="D7" s="34" t="n">
        <v>3.95</v>
      </c>
      <c r="E7" s="34" t="n">
        <v>17.73</v>
      </c>
      <c r="F7" s="34" t="n">
        <v>20.93</v>
      </c>
      <c r="G7" s="35" t="n">
        <v>1337.6</v>
      </c>
      <c r="H7" s="35" t="n">
        <v>-425.9</v>
      </c>
      <c r="I7" s="34" t="n">
        <v>21.6</v>
      </c>
      <c r="J7" s="36" t="n">
        <v>0.654</v>
      </c>
      <c r="K7" s="34" t="n">
        <v>0.32</v>
      </c>
      <c r="L7" s="33" t="s">
        <v>34</v>
      </c>
      <c r="M7" s="33" t="s">
        <v>32</v>
      </c>
    </row>
    <row r="8" customFormat="false" ht="15" hidden="false" customHeight="false" outlineLevel="0" collapsed="false">
      <c r="A8" s="29" t="s">
        <v>28</v>
      </c>
      <c r="B8" s="29" t="s">
        <v>33</v>
      </c>
      <c r="C8" s="29" t="n">
        <v>2023</v>
      </c>
      <c r="D8" s="30" t="n">
        <v>-1.19</v>
      </c>
      <c r="E8" s="30" t="n">
        <v>8.81</v>
      </c>
      <c r="F8" s="30" t="n">
        <v>4.63</v>
      </c>
      <c r="G8" s="31" t="n">
        <v>654.1</v>
      </c>
      <c r="H8" s="31" t="n">
        <v>-488.7</v>
      </c>
      <c r="I8" s="30" t="n">
        <v>43.1</v>
      </c>
      <c r="J8" s="32" t="n">
        <v>0.675</v>
      </c>
      <c r="K8" s="30" t="n">
        <v>0.09</v>
      </c>
      <c r="L8" s="29" t="s">
        <v>30</v>
      </c>
      <c r="M8" s="29" t="s">
        <v>35</v>
      </c>
    </row>
    <row r="9" customFormat="false" ht="15" hidden="false" customHeight="false" outlineLevel="0" collapsed="false">
      <c r="A9" s="33" t="s">
        <v>28</v>
      </c>
      <c r="B9" s="33" t="s">
        <v>33</v>
      </c>
      <c r="C9" s="33" t="n">
        <v>2024</v>
      </c>
      <c r="D9" s="34" t="n">
        <v>7</v>
      </c>
      <c r="E9" s="34" t="n">
        <v>17.58</v>
      </c>
      <c r="F9" s="34" t="n">
        <v>15.17</v>
      </c>
      <c r="G9" s="35" t="n">
        <v>913.8</v>
      </c>
      <c r="H9" s="35" t="n">
        <v>590.9</v>
      </c>
      <c r="I9" s="34" t="n">
        <v>77.8</v>
      </c>
      <c r="J9" s="36" t="n">
        <v>0.504</v>
      </c>
      <c r="K9" s="34" t="n">
        <v>1.68</v>
      </c>
      <c r="L9" s="33" t="s">
        <v>34</v>
      </c>
      <c r="M9" s="33" t="s">
        <v>32</v>
      </c>
    </row>
    <row r="10" customFormat="false" ht="15" hidden="false" customHeight="false" outlineLevel="0" collapsed="false">
      <c r="A10" s="29" t="s">
        <v>28</v>
      </c>
      <c r="B10" s="29" t="s">
        <v>36</v>
      </c>
      <c r="C10" s="29" t="n">
        <v>2021</v>
      </c>
      <c r="D10" s="30" t="n">
        <v>7.22</v>
      </c>
      <c r="E10" s="30" t="n">
        <v>4.09</v>
      </c>
      <c r="F10" s="30" t="n">
        <v>19.41</v>
      </c>
      <c r="G10" s="31" t="n">
        <v>1219.4</v>
      </c>
      <c r="H10" s="31" t="n">
        <v>994.4</v>
      </c>
      <c r="I10" s="30" t="n">
        <v>62.6</v>
      </c>
      <c r="J10" s="32" t="n">
        <v>0.626</v>
      </c>
      <c r="K10" s="30" t="n">
        <v>5.99</v>
      </c>
      <c r="L10" s="29" t="s">
        <v>30</v>
      </c>
      <c r="M10" s="29" t="s">
        <v>31</v>
      </c>
    </row>
    <row r="11" customFormat="false" ht="15" hidden="false" customHeight="false" outlineLevel="0" collapsed="false">
      <c r="A11" s="33" t="s">
        <v>28</v>
      </c>
      <c r="B11" s="33" t="s">
        <v>36</v>
      </c>
      <c r="C11" s="33" t="n">
        <v>2022</v>
      </c>
      <c r="D11" s="34" t="n">
        <v>-0.81</v>
      </c>
      <c r="E11" s="34" t="n">
        <v>6.74</v>
      </c>
      <c r="F11" s="34" t="n">
        <v>21.83</v>
      </c>
      <c r="G11" s="35" t="n">
        <v>849.3</v>
      </c>
      <c r="H11" s="35" t="n">
        <v>1348.3</v>
      </c>
      <c r="I11" s="34" t="n">
        <v>81.6</v>
      </c>
      <c r="J11" s="36" t="n">
        <v>0.587</v>
      </c>
      <c r="K11" s="34" t="n">
        <v>1</v>
      </c>
      <c r="L11" s="33" t="s">
        <v>30</v>
      </c>
      <c r="M11" s="33" t="s">
        <v>32</v>
      </c>
    </row>
    <row r="12" customFormat="false" ht="15" hidden="false" customHeight="false" outlineLevel="0" collapsed="false">
      <c r="A12" s="29" t="s">
        <v>28</v>
      </c>
      <c r="B12" s="29" t="s">
        <v>36</v>
      </c>
      <c r="C12" s="29" t="n">
        <v>2023</v>
      </c>
      <c r="D12" s="30" t="n">
        <v>5.98</v>
      </c>
      <c r="E12" s="30" t="n">
        <v>15.54</v>
      </c>
      <c r="F12" s="30" t="n">
        <v>5.23</v>
      </c>
      <c r="G12" s="31" t="n">
        <v>1653.6</v>
      </c>
      <c r="H12" s="31" t="n">
        <v>-128.1</v>
      </c>
      <c r="I12" s="30" t="n">
        <v>25.1</v>
      </c>
      <c r="J12" s="32" t="n">
        <v>0.574</v>
      </c>
      <c r="K12" s="30" t="n">
        <v>2.15</v>
      </c>
      <c r="L12" s="29" t="s">
        <v>34</v>
      </c>
      <c r="M12" s="29" t="s">
        <v>31</v>
      </c>
    </row>
    <row r="13" customFormat="false" ht="15" hidden="false" customHeight="false" outlineLevel="0" collapsed="false">
      <c r="A13" s="33" t="s">
        <v>28</v>
      </c>
      <c r="B13" s="33" t="s">
        <v>36</v>
      </c>
      <c r="C13" s="33" t="n">
        <v>2024</v>
      </c>
      <c r="D13" s="34" t="n">
        <v>1.37</v>
      </c>
      <c r="E13" s="34" t="n">
        <v>8.03</v>
      </c>
      <c r="F13" s="34" t="n">
        <v>9.4</v>
      </c>
      <c r="G13" s="35" t="n">
        <v>1634.1</v>
      </c>
      <c r="H13" s="35" t="n">
        <v>271.9</v>
      </c>
      <c r="I13" s="34" t="n">
        <v>77</v>
      </c>
      <c r="J13" s="36" t="n">
        <v>0.68</v>
      </c>
      <c r="K13" s="34" t="n">
        <v>2.09</v>
      </c>
      <c r="L13" s="33" t="s">
        <v>30</v>
      </c>
      <c r="M13" s="33" t="s">
        <v>35</v>
      </c>
    </row>
    <row r="14" customFormat="false" ht="15" hidden="false" customHeight="false" outlineLevel="0" collapsed="false">
      <c r="A14" s="29" t="s">
        <v>28</v>
      </c>
      <c r="B14" s="29" t="s">
        <v>37</v>
      </c>
      <c r="C14" s="29" t="n">
        <v>2021</v>
      </c>
      <c r="D14" s="30" t="n">
        <v>6.8</v>
      </c>
      <c r="E14" s="30" t="n">
        <v>16.77</v>
      </c>
      <c r="F14" s="30" t="n">
        <v>16.71</v>
      </c>
      <c r="G14" s="31" t="n">
        <v>827.2</v>
      </c>
      <c r="H14" s="31" t="n">
        <v>387.9</v>
      </c>
      <c r="I14" s="30" t="n">
        <v>41.8</v>
      </c>
      <c r="J14" s="32" t="n">
        <v>0.731</v>
      </c>
      <c r="K14" s="30" t="n">
        <v>1.78</v>
      </c>
      <c r="L14" s="29" t="s">
        <v>34</v>
      </c>
      <c r="M14" s="29" t="s">
        <v>38</v>
      </c>
    </row>
    <row r="15" customFormat="false" ht="15" hidden="false" customHeight="false" outlineLevel="0" collapsed="false">
      <c r="A15" s="33" t="s">
        <v>28</v>
      </c>
      <c r="B15" s="33" t="s">
        <v>37</v>
      </c>
      <c r="C15" s="33" t="n">
        <v>2022</v>
      </c>
      <c r="D15" s="34" t="n">
        <v>-0.94</v>
      </c>
      <c r="E15" s="34" t="n">
        <v>13.01</v>
      </c>
      <c r="F15" s="34" t="n">
        <v>8.96</v>
      </c>
      <c r="G15" s="35" t="n">
        <v>1539.8</v>
      </c>
      <c r="H15" s="35" t="n">
        <v>923.1</v>
      </c>
      <c r="I15" s="34" t="n">
        <v>69.8</v>
      </c>
      <c r="J15" s="36" t="n">
        <v>0.615</v>
      </c>
      <c r="K15" s="34" t="n">
        <v>-0.6</v>
      </c>
      <c r="L15" s="33" t="s">
        <v>39</v>
      </c>
      <c r="M15" s="33" t="s">
        <v>32</v>
      </c>
    </row>
    <row r="16" customFormat="false" ht="15" hidden="false" customHeight="false" outlineLevel="0" collapsed="false">
      <c r="A16" s="29" t="s">
        <v>28</v>
      </c>
      <c r="B16" s="29" t="s">
        <v>37</v>
      </c>
      <c r="C16" s="29" t="n">
        <v>2023</v>
      </c>
      <c r="D16" s="30" t="n">
        <v>5.52</v>
      </c>
      <c r="E16" s="30" t="n">
        <v>3.28</v>
      </c>
      <c r="F16" s="30" t="n">
        <v>11.32</v>
      </c>
      <c r="G16" s="31" t="n">
        <v>1929.4</v>
      </c>
      <c r="H16" s="31" t="n">
        <v>12.4</v>
      </c>
      <c r="I16" s="30" t="n">
        <v>55.2</v>
      </c>
      <c r="J16" s="32" t="n">
        <v>0.84</v>
      </c>
      <c r="K16" s="30" t="n">
        <v>5.74</v>
      </c>
      <c r="L16" s="29" t="s">
        <v>30</v>
      </c>
      <c r="M16" s="29" t="s">
        <v>38</v>
      </c>
    </row>
    <row r="17" customFormat="false" ht="15" hidden="false" customHeight="false" outlineLevel="0" collapsed="false">
      <c r="A17" s="33" t="s">
        <v>28</v>
      </c>
      <c r="B17" s="33" t="s">
        <v>37</v>
      </c>
      <c r="C17" s="33" t="n">
        <v>2024</v>
      </c>
      <c r="D17" s="34" t="n">
        <v>5.88</v>
      </c>
      <c r="E17" s="34" t="n">
        <v>10.53</v>
      </c>
      <c r="F17" s="34" t="n">
        <v>20.67</v>
      </c>
      <c r="G17" s="35" t="n">
        <v>550.8</v>
      </c>
      <c r="H17" s="35" t="n">
        <v>1263.2</v>
      </c>
      <c r="I17" s="34" t="n">
        <v>48.7</v>
      </c>
      <c r="J17" s="36" t="n">
        <v>0.733</v>
      </c>
      <c r="K17" s="34" t="n">
        <v>3.06</v>
      </c>
      <c r="L17" s="33" t="s">
        <v>39</v>
      </c>
      <c r="M17" s="33" t="s">
        <v>35</v>
      </c>
    </row>
    <row r="18" customFormat="false" ht="15" hidden="false" customHeight="false" outlineLevel="0" collapsed="false">
      <c r="A18" s="29" t="s">
        <v>28</v>
      </c>
      <c r="B18" s="29" t="s">
        <v>40</v>
      </c>
      <c r="C18" s="29" t="n">
        <v>2021</v>
      </c>
      <c r="D18" s="30" t="n">
        <v>0.82</v>
      </c>
      <c r="E18" s="30" t="n">
        <v>12.85</v>
      </c>
      <c r="F18" s="30" t="n">
        <v>14.48</v>
      </c>
      <c r="G18" s="31" t="n">
        <v>1975.2</v>
      </c>
      <c r="H18" s="31" t="n">
        <v>833.6</v>
      </c>
      <c r="I18" s="30" t="n">
        <v>50.8</v>
      </c>
      <c r="J18" s="32" t="n">
        <v>0.613</v>
      </c>
      <c r="K18" s="30" t="n">
        <v>0.54</v>
      </c>
      <c r="L18" s="29" t="s">
        <v>39</v>
      </c>
      <c r="M18" s="29" t="s">
        <v>35</v>
      </c>
    </row>
    <row r="19" customFormat="false" ht="15" hidden="false" customHeight="false" outlineLevel="0" collapsed="false">
      <c r="A19" s="33" t="s">
        <v>28</v>
      </c>
      <c r="B19" s="33" t="s">
        <v>40</v>
      </c>
      <c r="C19" s="33" t="n">
        <v>2022</v>
      </c>
      <c r="D19" s="34" t="n">
        <v>1.45</v>
      </c>
      <c r="E19" s="34" t="n">
        <v>12.67</v>
      </c>
      <c r="F19" s="34" t="n">
        <v>16.19</v>
      </c>
      <c r="G19" s="35" t="n">
        <v>1931.1</v>
      </c>
      <c r="H19" s="35" t="n">
        <v>-113.4</v>
      </c>
      <c r="I19" s="34" t="n">
        <v>66.6</v>
      </c>
      <c r="J19" s="36" t="n">
        <v>0.524</v>
      </c>
      <c r="K19" s="34" t="n">
        <v>0.89</v>
      </c>
      <c r="L19" s="33" t="s">
        <v>39</v>
      </c>
      <c r="M19" s="33" t="s">
        <v>38</v>
      </c>
    </row>
    <row r="20" customFormat="false" ht="15" hidden="false" customHeight="false" outlineLevel="0" collapsed="false">
      <c r="A20" s="29" t="s">
        <v>28</v>
      </c>
      <c r="B20" s="29" t="s">
        <v>40</v>
      </c>
      <c r="C20" s="29" t="n">
        <v>2023</v>
      </c>
      <c r="D20" s="30" t="n">
        <v>4.57</v>
      </c>
      <c r="E20" s="30" t="n">
        <v>13.89</v>
      </c>
      <c r="F20" s="30" t="n">
        <v>19.46</v>
      </c>
      <c r="G20" s="31" t="n">
        <v>500.9</v>
      </c>
      <c r="H20" s="31" t="n">
        <v>1221</v>
      </c>
      <c r="I20" s="30" t="n">
        <v>44.2</v>
      </c>
      <c r="J20" s="32" t="n">
        <v>0.622</v>
      </c>
      <c r="K20" s="30" t="n">
        <v>1.37</v>
      </c>
      <c r="L20" s="29" t="s">
        <v>39</v>
      </c>
      <c r="M20" s="29" t="s">
        <v>31</v>
      </c>
    </row>
    <row r="21" customFormat="false" ht="15" hidden="false" customHeight="false" outlineLevel="0" collapsed="false">
      <c r="A21" s="33" t="s">
        <v>28</v>
      </c>
      <c r="B21" s="33" t="s">
        <v>40</v>
      </c>
      <c r="C21" s="33" t="n">
        <v>2024</v>
      </c>
      <c r="D21" s="34" t="n">
        <v>3.02</v>
      </c>
      <c r="E21" s="34" t="n">
        <v>5.24</v>
      </c>
      <c r="F21" s="34" t="n">
        <v>12.92</v>
      </c>
      <c r="G21" s="35" t="n">
        <v>1902.3</v>
      </c>
      <c r="H21" s="35" t="n">
        <v>1456.6</v>
      </c>
      <c r="I21" s="34" t="n">
        <v>89.3</v>
      </c>
      <c r="J21" s="36" t="n">
        <v>0.67</v>
      </c>
      <c r="K21" s="34" t="n">
        <v>3.89</v>
      </c>
      <c r="L21" s="33" t="s">
        <v>30</v>
      </c>
      <c r="M21" s="33" t="s">
        <v>32</v>
      </c>
    </row>
    <row r="22" customFormat="false" ht="15" hidden="false" customHeight="false" outlineLevel="0" collapsed="false">
      <c r="A22" s="29" t="s">
        <v>28</v>
      </c>
      <c r="B22" s="29" t="s">
        <v>41</v>
      </c>
      <c r="C22" s="29" t="n">
        <v>2021</v>
      </c>
      <c r="D22" s="30" t="n">
        <v>7.33</v>
      </c>
      <c r="E22" s="30" t="n">
        <v>6.22</v>
      </c>
      <c r="F22" s="30" t="n">
        <v>19.18</v>
      </c>
      <c r="G22" s="31" t="n">
        <v>862.8</v>
      </c>
      <c r="H22" s="31" t="n">
        <v>620.7</v>
      </c>
      <c r="I22" s="30" t="n">
        <v>63.8</v>
      </c>
      <c r="J22" s="32" t="n">
        <v>0.78</v>
      </c>
      <c r="K22" s="30" t="n">
        <v>5.23</v>
      </c>
      <c r="L22" s="29" t="s">
        <v>30</v>
      </c>
      <c r="M22" s="29" t="s">
        <v>38</v>
      </c>
    </row>
    <row r="23" customFormat="false" ht="15" hidden="false" customHeight="false" outlineLevel="0" collapsed="false">
      <c r="A23" s="33" t="s">
        <v>28</v>
      </c>
      <c r="B23" s="33" t="s">
        <v>41</v>
      </c>
      <c r="C23" s="33" t="n">
        <v>2022</v>
      </c>
      <c r="D23" s="34" t="n">
        <v>0</v>
      </c>
      <c r="E23" s="34" t="n">
        <v>2.33</v>
      </c>
      <c r="F23" s="34" t="n">
        <v>5</v>
      </c>
      <c r="G23" s="35" t="n">
        <v>649.6</v>
      </c>
      <c r="H23" s="35" t="n">
        <v>661</v>
      </c>
      <c r="I23" s="34" t="n">
        <v>87.3</v>
      </c>
      <c r="J23" s="36" t="n">
        <v>0.629</v>
      </c>
      <c r="K23" s="34" t="n">
        <v>2.63</v>
      </c>
      <c r="L23" s="33" t="s">
        <v>30</v>
      </c>
      <c r="M23" s="33" t="s">
        <v>38</v>
      </c>
    </row>
    <row r="24" customFormat="false" ht="15" hidden="false" customHeight="false" outlineLevel="0" collapsed="false">
      <c r="A24" s="29" t="s">
        <v>28</v>
      </c>
      <c r="B24" s="29" t="s">
        <v>41</v>
      </c>
      <c r="C24" s="29" t="n">
        <v>2023</v>
      </c>
      <c r="D24" s="30" t="n">
        <v>7.71</v>
      </c>
      <c r="E24" s="30" t="n">
        <v>12.02</v>
      </c>
      <c r="F24" s="30" t="n">
        <v>16.51</v>
      </c>
      <c r="G24" s="31" t="n">
        <v>1171.1</v>
      </c>
      <c r="H24" s="31" t="n">
        <v>-112</v>
      </c>
      <c r="I24" s="30" t="n">
        <v>27</v>
      </c>
      <c r="J24" s="32" t="n">
        <v>0.821</v>
      </c>
      <c r="K24" s="30" t="n">
        <v>3.83</v>
      </c>
      <c r="L24" s="29" t="s">
        <v>39</v>
      </c>
      <c r="M24" s="29" t="s">
        <v>32</v>
      </c>
    </row>
    <row r="25" customFormat="false" ht="15" hidden="false" customHeight="false" outlineLevel="0" collapsed="false">
      <c r="A25" s="33" t="s">
        <v>28</v>
      </c>
      <c r="B25" s="33" t="s">
        <v>41</v>
      </c>
      <c r="C25" s="33" t="n">
        <v>2024</v>
      </c>
      <c r="D25" s="34" t="n">
        <v>1.98</v>
      </c>
      <c r="E25" s="34" t="n">
        <v>4.76</v>
      </c>
      <c r="F25" s="34" t="n">
        <v>11.76</v>
      </c>
      <c r="G25" s="35" t="n">
        <v>300.5</v>
      </c>
      <c r="H25" s="35" t="n">
        <v>-238.7</v>
      </c>
      <c r="I25" s="34" t="n">
        <v>51.3</v>
      </c>
      <c r="J25" s="36" t="n">
        <v>0.816</v>
      </c>
      <c r="K25" s="34" t="n">
        <v>2.71</v>
      </c>
      <c r="L25" s="33" t="s">
        <v>30</v>
      </c>
      <c r="M25" s="33" t="s">
        <v>32</v>
      </c>
    </row>
    <row r="26" customFormat="false" ht="15" hidden="false" customHeight="false" outlineLevel="0" collapsed="false">
      <c r="A26" s="29" t="s">
        <v>28</v>
      </c>
      <c r="B26" s="29" t="s">
        <v>42</v>
      </c>
      <c r="C26" s="29" t="n">
        <v>2021</v>
      </c>
      <c r="D26" s="30" t="n">
        <v>2.18</v>
      </c>
      <c r="E26" s="30" t="n">
        <v>17.27</v>
      </c>
      <c r="F26" s="30" t="n">
        <v>6.4</v>
      </c>
      <c r="G26" s="31" t="n">
        <v>537.8</v>
      </c>
      <c r="H26" s="31" t="n">
        <v>47.2</v>
      </c>
      <c r="I26" s="30" t="n">
        <v>60.1</v>
      </c>
      <c r="J26" s="32" t="n">
        <v>0.833</v>
      </c>
      <c r="K26" s="30" t="n">
        <v>-0.82</v>
      </c>
      <c r="L26" s="29" t="s">
        <v>34</v>
      </c>
      <c r="M26" s="29" t="s">
        <v>32</v>
      </c>
    </row>
    <row r="27" customFormat="false" ht="15" hidden="false" customHeight="false" outlineLevel="0" collapsed="false">
      <c r="A27" s="33" t="s">
        <v>28</v>
      </c>
      <c r="B27" s="33" t="s">
        <v>42</v>
      </c>
      <c r="C27" s="33" t="n">
        <v>2022</v>
      </c>
      <c r="D27" s="34" t="n">
        <v>-0.16</v>
      </c>
      <c r="E27" s="34" t="n">
        <v>16.6</v>
      </c>
      <c r="F27" s="34" t="n">
        <v>21.96</v>
      </c>
      <c r="G27" s="35" t="n">
        <v>1167</v>
      </c>
      <c r="H27" s="35" t="n">
        <v>751.7</v>
      </c>
      <c r="I27" s="34" t="n">
        <v>84.1</v>
      </c>
      <c r="J27" s="36" t="n">
        <v>0.736</v>
      </c>
      <c r="K27" s="34" t="n">
        <v>-1.48</v>
      </c>
      <c r="L27" s="33" t="s">
        <v>34</v>
      </c>
      <c r="M27" s="33" t="s">
        <v>31</v>
      </c>
    </row>
    <row r="28" customFormat="false" ht="15" hidden="false" customHeight="false" outlineLevel="0" collapsed="false">
      <c r="A28" s="29" t="s">
        <v>28</v>
      </c>
      <c r="B28" s="29" t="s">
        <v>42</v>
      </c>
      <c r="C28" s="29" t="n">
        <v>2023</v>
      </c>
      <c r="D28" s="30" t="n">
        <v>3.32</v>
      </c>
      <c r="E28" s="30" t="n">
        <v>17.95</v>
      </c>
      <c r="F28" s="30" t="n">
        <v>12.94</v>
      </c>
      <c r="G28" s="31" t="n">
        <v>274</v>
      </c>
      <c r="H28" s="31" t="n">
        <v>1092.5</v>
      </c>
      <c r="I28" s="30" t="n">
        <v>25.1</v>
      </c>
      <c r="J28" s="32" t="n">
        <v>0.732</v>
      </c>
      <c r="K28" s="30" t="n">
        <v>-0.59</v>
      </c>
      <c r="L28" s="29" t="s">
        <v>34</v>
      </c>
      <c r="M28" s="29" t="s">
        <v>31</v>
      </c>
    </row>
    <row r="29" customFormat="false" ht="15" hidden="false" customHeight="false" outlineLevel="0" collapsed="false">
      <c r="A29" s="33" t="s">
        <v>28</v>
      </c>
      <c r="B29" s="33" t="s">
        <v>42</v>
      </c>
      <c r="C29" s="33" t="n">
        <v>2024</v>
      </c>
      <c r="D29" s="34" t="n">
        <v>3.7</v>
      </c>
      <c r="E29" s="34" t="n">
        <v>10.53</v>
      </c>
      <c r="F29" s="34" t="n">
        <v>15.04</v>
      </c>
      <c r="G29" s="35" t="n">
        <v>1186.7</v>
      </c>
      <c r="H29" s="35" t="n">
        <v>327.9</v>
      </c>
      <c r="I29" s="34" t="n">
        <v>31.6</v>
      </c>
      <c r="J29" s="36" t="n">
        <v>0.703</v>
      </c>
      <c r="K29" s="34" t="n">
        <v>2.28</v>
      </c>
      <c r="L29" s="33" t="s">
        <v>39</v>
      </c>
      <c r="M29" s="33" t="s">
        <v>31</v>
      </c>
    </row>
    <row r="30" customFormat="false" ht="15" hidden="false" customHeight="false" outlineLevel="0" collapsed="false">
      <c r="A30" s="29" t="s">
        <v>28</v>
      </c>
      <c r="B30" s="29" t="s">
        <v>43</v>
      </c>
      <c r="C30" s="29" t="n">
        <v>2021</v>
      </c>
      <c r="D30" s="30" t="n">
        <v>1.97</v>
      </c>
      <c r="E30" s="30" t="n">
        <v>2.76</v>
      </c>
      <c r="F30" s="30" t="n">
        <v>12.72</v>
      </c>
      <c r="G30" s="31" t="n">
        <v>1132.8</v>
      </c>
      <c r="H30" s="31" t="n">
        <v>84.3</v>
      </c>
      <c r="I30" s="30" t="n">
        <v>78.6</v>
      </c>
      <c r="J30" s="32" t="n">
        <v>0.475</v>
      </c>
      <c r="K30" s="30" t="n">
        <v>3.72</v>
      </c>
      <c r="L30" s="29" t="s">
        <v>30</v>
      </c>
      <c r="M30" s="29" t="s">
        <v>32</v>
      </c>
    </row>
    <row r="31" customFormat="false" ht="15" hidden="false" customHeight="false" outlineLevel="0" collapsed="false">
      <c r="A31" s="33" t="s">
        <v>28</v>
      </c>
      <c r="B31" s="33" t="s">
        <v>43</v>
      </c>
      <c r="C31" s="33" t="n">
        <v>2022</v>
      </c>
      <c r="D31" s="34" t="n">
        <v>0.3</v>
      </c>
      <c r="E31" s="34" t="n">
        <v>5.02</v>
      </c>
      <c r="F31" s="34" t="n">
        <v>12.21</v>
      </c>
      <c r="G31" s="35" t="n">
        <v>582</v>
      </c>
      <c r="H31" s="35" t="n">
        <v>813.7</v>
      </c>
      <c r="I31" s="34" t="n">
        <v>24.9</v>
      </c>
      <c r="J31" s="36" t="n">
        <v>0.845</v>
      </c>
      <c r="K31" s="34" t="n">
        <v>1.94</v>
      </c>
      <c r="L31" s="33" t="s">
        <v>30</v>
      </c>
      <c r="M31" s="33" t="s">
        <v>35</v>
      </c>
    </row>
    <row r="32" customFormat="false" ht="15" hidden="false" customHeight="false" outlineLevel="0" collapsed="false">
      <c r="A32" s="29" t="s">
        <v>28</v>
      </c>
      <c r="B32" s="29" t="s">
        <v>43</v>
      </c>
      <c r="C32" s="29" t="n">
        <v>2023</v>
      </c>
      <c r="D32" s="30" t="n">
        <v>5.02</v>
      </c>
      <c r="E32" s="30" t="n">
        <v>12.44</v>
      </c>
      <c r="F32" s="30" t="n">
        <v>18.49</v>
      </c>
      <c r="G32" s="31" t="n">
        <v>208.9</v>
      </c>
      <c r="H32" s="31" t="n">
        <v>855.7</v>
      </c>
      <c r="I32" s="30" t="n">
        <v>70.7</v>
      </c>
      <c r="J32" s="32" t="n">
        <v>0.805</v>
      </c>
      <c r="K32" s="30" t="n">
        <v>1.88</v>
      </c>
      <c r="L32" s="29" t="s">
        <v>39</v>
      </c>
      <c r="M32" s="29" t="s">
        <v>35</v>
      </c>
    </row>
    <row r="33" customFormat="false" ht="15" hidden="false" customHeight="false" outlineLevel="0" collapsed="false">
      <c r="A33" s="33" t="s">
        <v>28</v>
      </c>
      <c r="B33" s="33" t="s">
        <v>43</v>
      </c>
      <c r="C33" s="33" t="n">
        <v>2024</v>
      </c>
      <c r="D33" s="34" t="n">
        <v>3.45</v>
      </c>
      <c r="E33" s="34" t="n">
        <v>2.53</v>
      </c>
      <c r="F33" s="34" t="n">
        <v>12.74</v>
      </c>
      <c r="G33" s="35" t="n">
        <v>789.5</v>
      </c>
      <c r="H33" s="35" t="n">
        <v>207.8</v>
      </c>
      <c r="I33" s="34" t="n">
        <v>74.8</v>
      </c>
      <c r="J33" s="36" t="n">
        <v>0.55</v>
      </c>
      <c r="K33" s="34" t="n">
        <v>4.36</v>
      </c>
      <c r="L33" s="33" t="s">
        <v>30</v>
      </c>
      <c r="M33" s="33" t="s">
        <v>35</v>
      </c>
    </row>
    <row r="34" customFormat="false" ht="15" hidden="false" customHeight="false" outlineLevel="0" collapsed="false">
      <c r="A34" s="29" t="s">
        <v>44</v>
      </c>
      <c r="B34" s="29" t="s">
        <v>29</v>
      </c>
      <c r="C34" s="29" t="n">
        <v>2021</v>
      </c>
      <c r="D34" s="30" t="n">
        <v>1.4</v>
      </c>
      <c r="E34" s="30" t="n">
        <v>2.84</v>
      </c>
      <c r="F34" s="30" t="n">
        <v>9.51</v>
      </c>
      <c r="G34" s="31" t="n">
        <v>1268.9</v>
      </c>
      <c r="H34" s="31" t="n">
        <v>-124</v>
      </c>
      <c r="I34" s="30" t="n">
        <v>32.6</v>
      </c>
      <c r="J34" s="32" t="n">
        <v>0.498</v>
      </c>
      <c r="K34" s="30" t="n">
        <v>3.48</v>
      </c>
      <c r="L34" s="29" t="s">
        <v>30</v>
      </c>
      <c r="M34" s="29" t="s">
        <v>32</v>
      </c>
    </row>
    <row r="35" customFormat="false" ht="15" hidden="false" customHeight="false" outlineLevel="0" collapsed="false">
      <c r="A35" s="33" t="s">
        <v>44</v>
      </c>
      <c r="B35" s="33" t="s">
        <v>29</v>
      </c>
      <c r="C35" s="33" t="n">
        <v>2022</v>
      </c>
      <c r="D35" s="34" t="n">
        <v>4.43</v>
      </c>
      <c r="E35" s="34" t="n">
        <v>10.34</v>
      </c>
      <c r="F35" s="34" t="n">
        <v>20.67</v>
      </c>
      <c r="G35" s="35" t="n">
        <v>500.6</v>
      </c>
      <c r="H35" s="35" t="n">
        <v>1333.6</v>
      </c>
      <c r="I35" s="34" t="n">
        <v>75.5</v>
      </c>
      <c r="J35" s="36" t="n">
        <v>0.787</v>
      </c>
      <c r="K35" s="34" t="n">
        <v>2.36</v>
      </c>
      <c r="L35" s="33" t="s">
        <v>39</v>
      </c>
      <c r="M35" s="33" t="s">
        <v>35</v>
      </c>
    </row>
    <row r="36" customFormat="false" ht="15" hidden="false" customHeight="false" outlineLevel="0" collapsed="false">
      <c r="A36" s="29" t="s">
        <v>44</v>
      </c>
      <c r="B36" s="29" t="s">
        <v>29</v>
      </c>
      <c r="C36" s="29" t="n">
        <v>2023</v>
      </c>
      <c r="D36" s="30" t="n">
        <v>3.67</v>
      </c>
      <c r="E36" s="30" t="n">
        <v>13.73</v>
      </c>
      <c r="F36" s="30" t="n">
        <v>14.45</v>
      </c>
      <c r="G36" s="31" t="n">
        <v>1786.1</v>
      </c>
      <c r="H36" s="31" t="n">
        <v>1252.9</v>
      </c>
      <c r="I36" s="30" t="n">
        <v>31.3</v>
      </c>
      <c r="J36" s="32" t="n">
        <v>0.833</v>
      </c>
      <c r="K36" s="30" t="n">
        <v>1.61</v>
      </c>
      <c r="L36" s="29" t="s">
        <v>39</v>
      </c>
      <c r="M36" s="29" t="s">
        <v>35</v>
      </c>
    </row>
    <row r="37" customFormat="false" ht="15" hidden="false" customHeight="false" outlineLevel="0" collapsed="false">
      <c r="A37" s="33" t="s">
        <v>44</v>
      </c>
      <c r="B37" s="33" t="s">
        <v>29</v>
      </c>
      <c r="C37" s="33" t="n">
        <v>2024</v>
      </c>
      <c r="D37" s="34" t="n">
        <v>5.74</v>
      </c>
      <c r="E37" s="34" t="n">
        <v>7.97</v>
      </c>
      <c r="F37" s="34" t="n">
        <v>8.95</v>
      </c>
      <c r="G37" s="35" t="n">
        <v>138.9</v>
      </c>
      <c r="H37" s="35" t="n">
        <v>293.1</v>
      </c>
      <c r="I37" s="34" t="n">
        <v>41</v>
      </c>
      <c r="J37" s="36" t="n">
        <v>0.518</v>
      </c>
      <c r="K37" s="34" t="n">
        <v>3.55</v>
      </c>
      <c r="L37" s="33" t="s">
        <v>30</v>
      </c>
      <c r="M37" s="33" t="s">
        <v>31</v>
      </c>
    </row>
    <row r="38" customFormat="false" ht="15" hidden="false" customHeight="false" outlineLevel="0" collapsed="false">
      <c r="A38" s="29" t="s">
        <v>44</v>
      </c>
      <c r="B38" s="29" t="s">
        <v>33</v>
      </c>
      <c r="C38" s="29" t="n">
        <v>2021</v>
      </c>
      <c r="D38" s="30" t="n">
        <v>6.81</v>
      </c>
      <c r="E38" s="30" t="n">
        <v>14.95</v>
      </c>
      <c r="F38" s="30" t="n">
        <v>8.62</v>
      </c>
      <c r="G38" s="31" t="n">
        <v>291</v>
      </c>
      <c r="H38" s="31" t="n">
        <v>355</v>
      </c>
      <c r="I38" s="30" t="n">
        <v>25.1</v>
      </c>
      <c r="J38" s="32" t="n">
        <v>0.602</v>
      </c>
      <c r="K38" s="30" t="n">
        <v>2.07</v>
      </c>
      <c r="L38" s="29" t="s">
        <v>39</v>
      </c>
      <c r="M38" s="29" t="s">
        <v>38</v>
      </c>
    </row>
    <row r="39" customFormat="false" ht="15" hidden="false" customHeight="false" outlineLevel="0" collapsed="false">
      <c r="A39" s="33" t="s">
        <v>44</v>
      </c>
      <c r="B39" s="33" t="s">
        <v>33</v>
      </c>
      <c r="C39" s="33" t="n">
        <v>2022</v>
      </c>
      <c r="D39" s="34" t="n">
        <v>6.47</v>
      </c>
      <c r="E39" s="34" t="n">
        <v>12.62</v>
      </c>
      <c r="F39" s="34" t="n">
        <v>18.3</v>
      </c>
      <c r="G39" s="35" t="n">
        <v>1939</v>
      </c>
      <c r="H39" s="35" t="n">
        <v>253.3</v>
      </c>
      <c r="I39" s="34" t="n">
        <v>38.9</v>
      </c>
      <c r="J39" s="36" t="n">
        <v>0.547</v>
      </c>
      <c r="K39" s="34" t="n">
        <v>3.42</v>
      </c>
      <c r="L39" s="33" t="s">
        <v>39</v>
      </c>
      <c r="M39" s="33" t="s">
        <v>35</v>
      </c>
    </row>
    <row r="40" customFormat="false" ht="15" hidden="false" customHeight="false" outlineLevel="0" collapsed="false">
      <c r="A40" s="29" t="s">
        <v>44</v>
      </c>
      <c r="B40" s="29" t="s">
        <v>33</v>
      </c>
      <c r="C40" s="29" t="n">
        <v>2023</v>
      </c>
      <c r="D40" s="30" t="n">
        <v>4.94</v>
      </c>
      <c r="E40" s="30" t="n">
        <v>2.3</v>
      </c>
      <c r="F40" s="30" t="n">
        <v>19.4</v>
      </c>
      <c r="G40" s="31" t="n">
        <v>613.1</v>
      </c>
      <c r="H40" s="31" t="n">
        <v>299.1</v>
      </c>
      <c r="I40" s="30" t="n">
        <v>55.9</v>
      </c>
      <c r="J40" s="32" t="n">
        <v>0.838</v>
      </c>
      <c r="K40" s="30" t="n">
        <v>5.09</v>
      </c>
      <c r="L40" s="29" t="s">
        <v>30</v>
      </c>
      <c r="M40" s="29" t="s">
        <v>35</v>
      </c>
    </row>
    <row r="41" customFormat="false" ht="15" hidden="false" customHeight="false" outlineLevel="0" collapsed="false">
      <c r="A41" s="33" t="s">
        <v>44</v>
      </c>
      <c r="B41" s="33" t="s">
        <v>33</v>
      </c>
      <c r="C41" s="33" t="n">
        <v>2024</v>
      </c>
      <c r="D41" s="34" t="n">
        <v>-0.26</v>
      </c>
      <c r="E41" s="34" t="n">
        <v>8.5</v>
      </c>
      <c r="F41" s="34" t="n">
        <v>4.04</v>
      </c>
      <c r="G41" s="35" t="n">
        <v>521.4</v>
      </c>
      <c r="H41" s="35" t="n">
        <v>19.6</v>
      </c>
      <c r="I41" s="34" t="n">
        <v>79</v>
      </c>
      <c r="J41" s="36" t="n">
        <v>0.49</v>
      </c>
      <c r="K41" s="34" t="n">
        <v>0.58</v>
      </c>
      <c r="L41" s="33" t="s">
        <v>30</v>
      </c>
      <c r="M41" s="33" t="s">
        <v>31</v>
      </c>
    </row>
    <row r="42" customFormat="false" ht="15" hidden="false" customHeight="false" outlineLevel="0" collapsed="false">
      <c r="A42" s="29" t="s">
        <v>44</v>
      </c>
      <c r="B42" s="29" t="s">
        <v>36</v>
      </c>
      <c r="C42" s="29" t="n">
        <v>2021</v>
      </c>
      <c r="D42" s="30" t="n">
        <v>3.66</v>
      </c>
      <c r="E42" s="30" t="n">
        <v>2.46</v>
      </c>
      <c r="F42" s="30" t="n">
        <v>6.84</v>
      </c>
      <c r="G42" s="31" t="n">
        <v>1806.1</v>
      </c>
      <c r="H42" s="31" t="n">
        <v>-140.5</v>
      </c>
      <c r="I42" s="30" t="n">
        <v>41</v>
      </c>
      <c r="J42" s="32" t="n">
        <v>0.875</v>
      </c>
      <c r="K42" s="30" t="n">
        <v>5</v>
      </c>
      <c r="L42" s="29" t="s">
        <v>30</v>
      </c>
      <c r="M42" s="29" t="s">
        <v>38</v>
      </c>
    </row>
    <row r="43" customFormat="false" ht="15" hidden="false" customHeight="false" outlineLevel="0" collapsed="false">
      <c r="A43" s="33" t="s">
        <v>44</v>
      </c>
      <c r="B43" s="33" t="s">
        <v>36</v>
      </c>
      <c r="C43" s="33" t="n">
        <v>2022</v>
      </c>
      <c r="D43" s="34" t="n">
        <v>-0.17</v>
      </c>
      <c r="E43" s="34" t="n">
        <v>14.23</v>
      </c>
      <c r="F43" s="34" t="n">
        <v>5.83</v>
      </c>
      <c r="G43" s="35" t="n">
        <v>1868.7</v>
      </c>
      <c r="H43" s="35" t="n">
        <v>-428.8</v>
      </c>
      <c r="I43" s="34" t="n">
        <v>47.7</v>
      </c>
      <c r="J43" s="36" t="n">
        <v>0.876</v>
      </c>
      <c r="K43" s="34" t="n">
        <v>-0.42</v>
      </c>
      <c r="L43" s="33" t="s">
        <v>39</v>
      </c>
      <c r="M43" s="33" t="s">
        <v>32</v>
      </c>
    </row>
    <row r="44" customFormat="false" ht="15" hidden="false" customHeight="false" outlineLevel="0" collapsed="false">
      <c r="A44" s="29" t="s">
        <v>44</v>
      </c>
      <c r="B44" s="29" t="s">
        <v>36</v>
      </c>
      <c r="C44" s="29" t="n">
        <v>2023</v>
      </c>
      <c r="D44" s="30" t="n">
        <v>-1.26</v>
      </c>
      <c r="E44" s="30" t="n">
        <v>11.41</v>
      </c>
      <c r="F44" s="30" t="n">
        <v>9.49</v>
      </c>
      <c r="G44" s="31" t="n">
        <v>307.6</v>
      </c>
      <c r="H44" s="31" t="n">
        <v>1333.9</v>
      </c>
      <c r="I44" s="30" t="n">
        <v>26.4</v>
      </c>
      <c r="J44" s="32" t="n">
        <v>0.666</v>
      </c>
      <c r="K44" s="30" t="n">
        <v>-0.9</v>
      </c>
      <c r="L44" s="29" t="s">
        <v>39</v>
      </c>
      <c r="M44" s="29" t="s">
        <v>35</v>
      </c>
    </row>
    <row r="45" customFormat="false" ht="15" hidden="false" customHeight="false" outlineLevel="0" collapsed="false">
      <c r="A45" s="33" t="s">
        <v>44</v>
      </c>
      <c r="B45" s="33" t="s">
        <v>36</v>
      </c>
      <c r="C45" s="33" t="n">
        <v>2024</v>
      </c>
      <c r="D45" s="34" t="n">
        <v>5.34</v>
      </c>
      <c r="E45" s="34" t="n">
        <v>9.75</v>
      </c>
      <c r="F45" s="34" t="n">
        <v>16.59</v>
      </c>
      <c r="G45" s="35" t="n">
        <v>245.9</v>
      </c>
      <c r="H45" s="35" t="n">
        <v>722.8</v>
      </c>
      <c r="I45" s="34" t="n">
        <v>83.4</v>
      </c>
      <c r="J45" s="36" t="n">
        <v>0.525</v>
      </c>
      <c r="K45" s="34" t="n">
        <v>2.87</v>
      </c>
      <c r="L45" s="33" t="s">
        <v>30</v>
      </c>
      <c r="M45" s="33" t="s">
        <v>32</v>
      </c>
    </row>
    <row r="46" customFormat="false" ht="15" hidden="false" customHeight="false" outlineLevel="0" collapsed="false">
      <c r="A46" s="29" t="s">
        <v>44</v>
      </c>
      <c r="B46" s="29" t="s">
        <v>37</v>
      </c>
      <c r="C46" s="29" t="n">
        <v>2021</v>
      </c>
      <c r="D46" s="30" t="n">
        <v>5.38</v>
      </c>
      <c r="E46" s="30" t="n">
        <v>5.97</v>
      </c>
      <c r="F46" s="30" t="n">
        <v>18.98</v>
      </c>
      <c r="G46" s="31" t="n">
        <v>550.2</v>
      </c>
      <c r="H46" s="31" t="n">
        <v>802.9</v>
      </c>
      <c r="I46" s="30" t="n">
        <v>67.1</v>
      </c>
      <c r="J46" s="32" t="n">
        <v>0.667</v>
      </c>
      <c r="K46" s="30" t="n">
        <v>4.17</v>
      </c>
      <c r="L46" s="29" t="s">
        <v>30</v>
      </c>
      <c r="M46" s="29" t="s">
        <v>31</v>
      </c>
    </row>
    <row r="47" customFormat="false" ht="15" hidden="false" customHeight="false" outlineLevel="0" collapsed="false">
      <c r="A47" s="33" t="s">
        <v>44</v>
      </c>
      <c r="B47" s="33" t="s">
        <v>37</v>
      </c>
      <c r="C47" s="33" t="n">
        <v>2022</v>
      </c>
      <c r="D47" s="34" t="n">
        <v>0.35</v>
      </c>
      <c r="E47" s="34" t="n">
        <v>10.39</v>
      </c>
      <c r="F47" s="34" t="n">
        <v>16.05</v>
      </c>
      <c r="G47" s="35" t="n">
        <v>870.9</v>
      </c>
      <c r="H47" s="35" t="n">
        <v>548.7</v>
      </c>
      <c r="I47" s="34" t="n">
        <v>25.1</v>
      </c>
      <c r="J47" s="36" t="n">
        <v>0.558</v>
      </c>
      <c r="K47" s="34" t="n">
        <v>0.49</v>
      </c>
      <c r="L47" s="33" t="s">
        <v>39</v>
      </c>
      <c r="M47" s="33" t="s">
        <v>38</v>
      </c>
    </row>
    <row r="48" customFormat="false" ht="15" hidden="false" customHeight="false" outlineLevel="0" collapsed="false">
      <c r="A48" s="29" t="s">
        <v>44</v>
      </c>
      <c r="B48" s="29" t="s">
        <v>37</v>
      </c>
      <c r="C48" s="29" t="n">
        <v>2023</v>
      </c>
      <c r="D48" s="30" t="n">
        <v>2.96</v>
      </c>
      <c r="E48" s="30" t="n">
        <v>3.55</v>
      </c>
      <c r="F48" s="30" t="n">
        <v>14.93</v>
      </c>
      <c r="G48" s="31" t="n">
        <v>1889.4</v>
      </c>
      <c r="H48" s="31" t="n">
        <v>373.5</v>
      </c>
      <c r="I48" s="30" t="n">
        <v>42.1</v>
      </c>
      <c r="J48" s="32" t="n">
        <v>0.848</v>
      </c>
      <c r="K48" s="30" t="n">
        <v>4.36</v>
      </c>
      <c r="L48" s="29" t="s">
        <v>30</v>
      </c>
      <c r="M48" s="29" t="s">
        <v>38</v>
      </c>
    </row>
    <row r="49" customFormat="false" ht="15" hidden="false" customHeight="false" outlineLevel="0" collapsed="false">
      <c r="A49" s="33" t="s">
        <v>44</v>
      </c>
      <c r="B49" s="33" t="s">
        <v>37</v>
      </c>
      <c r="C49" s="33" t="n">
        <v>2024</v>
      </c>
      <c r="D49" s="34" t="n">
        <v>-0.15</v>
      </c>
      <c r="E49" s="34" t="n">
        <v>16.4</v>
      </c>
      <c r="F49" s="34" t="n">
        <v>15.77</v>
      </c>
      <c r="G49" s="35" t="n">
        <v>69.8</v>
      </c>
      <c r="H49" s="35" t="n">
        <v>560.6</v>
      </c>
      <c r="I49" s="34" t="n">
        <v>33.7</v>
      </c>
      <c r="J49" s="36" t="n">
        <v>0.607</v>
      </c>
      <c r="K49" s="34" t="n">
        <v>-1.96</v>
      </c>
      <c r="L49" s="33" t="s">
        <v>34</v>
      </c>
      <c r="M49" s="33" t="s">
        <v>35</v>
      </c>
    </row>
    <row r="50" customFormat="false" ht="15" hidden="false" customHeight="false" outlineLevel="0" collapsed="false">
      <c r="A50" s="29" t="s">
        <v>44</v>
      </c>
      <c r="B50" s="29" t="s">
        <v>40</v>
      </c>
      <c r="C50" s="29" t="n">
        <v>2021</v>
      </c>
      <c r="D50" s="30" t="n">
        <v>1.45</v>
      </c>
      <c r="E50" s="30" t="n">
        <v>4.28</v>
      </c>
      <c r="F50" s="30" t="n">
        <v>8.8</v>
      </c>
      <c r="G50" s="31" t="n">
        <v>557.7</v>
      </c>
      <c r="H50" s="31" t="n">
        <v>404.8</v>
      </c>
      <c r="I50" s="30" t="n">
        <v>86</v>
      </c>
      <c r="J50" s="32" t="n">
        <v>0.462</v>
      </c>
      <c r="K50" s="30" t="n">
        <v>2.72</v>
      </c>
      <c r="L50" s="29" t="s">
        <v>30</v>
      </c>
      <c r="M50" s="29" t="s">
        <v>35</v>
      </c>
    </row>
    <row r="51" customFormat="false" ht="15" hidden="false" customHeight="false" outlineLevel="0" collapsed="false">
      <c r="A51" s="33" t="s">
        <v>44</v>
      </c>
      <c r="B51" s="33" t="s">
        <v>40</v>
      </c>
      <c r="C51" s="33" t="n">
        <v>2022</v>
      </c>
      <c r="D51" s="34" t="n">
        <v>-0.59</v>
      </c>
      <c r="E51" s="34" t="n">
        <v>3.25</v>
      </c>
      <c r="F51" s="34" t="n">
        <v>19.36</v>
      </c>
      <c r="G51" s="35" t="n">
        <v>85.2</v>
      </c>
      <c r="H51" s="35" t="n">
        <v>1382.7</v>
      </c>
      <c r="I51" s="34" t="n">
        <v>82.3</v>
      </c>
      <c r="J51" s="36" t="n">
        <v>0.555</v>
      </c>
      <c r="K51" s="34" t="n">
        <v>1.77</v>
      </c>
      <c r="L51" s="33" t="s">
        <v>30</v>
      </c>
      <c r="M51" s="33" t="s">
        <v>35</v>
      </c>
    </row>
    <row r="52" customFormat="false" ht="15" hidden="false" customHeight="false" outlineLevel="0" collapsed="false">
      <c r="A52" s="29" t="s">
        <v>44</v>
      </c>
      <c r="B52" s="29" t="s">
        <v>40</v>
      </c>
      <c r="C52" s="29" t="n">
        <v>2023</v>
      </c>
      <c r="D52" s="30" t="n">
        <v>5.8</v>
      </c>
      <c r="E52" s="30" t="n">
        <v>2.34</v>
      </c>
      <c r="F52" s="30" t="n">
        <v>6.34</v>
      </c>
      <c r="G52" s="31" t="n">
        <v>483.1</v>
      </c>
      <c r="H52" s="31" t="n">
        <v>741.5</v>
      </c>
      <c r="I52" s="30" t="n">
        <v>73.2</v>
      </c>
      <c r="J52" s="32" t="n">
        <v>0.48</v>
      </c>
      <c r="K52" s="30" t="n">
        <v>5.44</v>
      </c>
      <c r="L52" s="29" t="s">
        <v>30</v>
      </c>
      <c r="M52" s="29" t="s">
        <v>31</v>
      </c>
    </row>
    <row r="53" customFormat="false" ht="15" hidden="false" customHeight="false" outlineLevel="0" collapsed="false">
      <c r="A53" s="33" t="s">
        <v>44</v>
      </c>
      <c r="B53" s="33" t="s">
        <v>40</v>
      </c>
      <c r="C53" s="33" t="n">
        <v>2024</v>
      </c>
      <c r="D53" s="34" t="n">
        <v>2.34</v>
      </c>
      <c r="E53" s="34" t="n">
        <v>12.52</v>
      </c>
      <c r="F53" s="34" t="n">
        <v>4.54</v>
      </c>
      <c r="G53" s="35" t="n">
        <v>1695.8</v>
      </c>
      <c r="H53" s="35" t="n">
        <v>953.9</v>
      </c>
      <c r="I53" s="34" t="n">
        <v>54.8</v>
      </c>
      <c r="J53" s="36" t="n">
        <v>0.69</v>
      </c>
      <c r="K53" s="34" t="n">
        <v>1.26</v>
      </c>
      <c r="L53" s="33" t="s">
        <v>39</v>
      </c>
      <c r="M53" s="33" t="s">
        <v>32</v>
      </c>
    </row>
    <row r="54" customFormat="false" ht="15" hidden="false" customHeight="false" outlineLevel="0" collapsed="false">
      <c r="A54" s="29" t="s">
        <v>44</v>
      </c>
      <c r="B54" s="29" t="s">
        <v>41</v>
      </c>
      <c r="C54" s="29" t="n">
        <v>2021</v>
      </c>
      <c r="D54" s="30" t="n">
        <v>5.68</v>
      </c>
      <c r="E54" s="30" t="n">
        <v>16.47</v>
      </c>
      <c r="F54" s="30" t="n">
        <v>7.99</v>
      </c>
      <c r="G54" s="31" t="n">
        <v>1438.5</v>
      </c>
      <c r="H54" s="31" t="n">
        <v>1116.8</v>
      </c>
      <c r="I54" s="30" t="n">
        <v>39.1</v>
      </c>
      <c r="J54" s="32" t="n">
        <v>0.555</v>
      </c>
      <c r="K54" s="30" t="n">
        <v>1.62</v>
      </c>
      <c r="L54" s="29" t="s">
        <v>34</v>
      </c>
      <c r="M54" s="29" t="s">
        <v>31</v>
      </c>
    </row>
    <row r="55" customFormat="false" ht="15" hidden="false" customHeight="false" outlineLevel="0" collapsed="false">
      <c r="A55" s="33" t="s">
        <v>44</v>
      </c>
      <c r="B55" s="33" t="s">
        <v>41</v>
      </c>
      <c r="C55" s="33" t="n">
        <v>2022</v>
      </c>
      <c r="D55" s="34" t="n">
        <v>0.2</v>
      </c>
      <c r="E55" s="34" t="n">
        <v>7.22</v>
      </c>
      <c r="F55" s="34" t="n">
        <v>4.95</v>
      </c>
      <c r="G55" s="35" t="n">
        <v>1758.8</v>
      </c>
      <c r="H55" s="35" t="n">
        <v>742.7</v>
      </c>
      <c r="I55" s="34" t="n">
        <v>37</v>
      </c>
      <c r="J55" s="36" t="n">
        <v>0.64</v>
      </c>
      <c r="K55" s="34" t="n">
        <v>1.81</v>
      </c>
      <c r="L55" s="33" t="s">
        <v>30</v>
      </c>
      <c r="M55" s="33" t="s">
        <v>32</v>
      </c>
    </row>
    <row r="56" customFormat="false" ht="15" hidden="false" customHeight="false" outlineLevel="0" collapsed="false">
      <c r="A56" s="29" t="s">
        <v>44</v>
      </c>
      <c r="B56" s="29" t="s">
        <v>41</v>
      </c>
      <c r="C56" s="29" t="n">
        <v>2023</v>
      </c>
      <c r="D56" s="30" t="n">
        <v>3.22</v>
      </c>
      <c r="E56" s="30" t="n">
        <v>11.63</v>
      </c>
      <c r="F56" s="30" t="n">
        <v>7.98</v>
      </c>
      <c r="G56" s="31" t="n">
        <v>1564.6</v>
      </c>
      <c r="H56" s="31" t="n">
        <v>-256.1</v>
      </c>
      <c r="I56" s="30" t="n">
        <v>21.2</v>
      </c>
      <c r="J56" s="32" t="n">
        <v>0.662</v>
      </c>
      <c r="K56" s="30" t="n">
        <v>1.9</v>
      </c>
      <c r="L56" s="29" t="s">
        <v>39</v>
      </c>
      <c r="M56" s="29" t="s">
        <v>32</v>
      </c>
    </row>
    <row r="57" customFormat="false" ht="15" hidden="false" customHeight="false" outlineLevel="0" collapsed="false">
      <c r="A57" s="33" t="s">
        <v>44</v>
      </c>
      <c r="B57" s="33" t="s">
        <v>41</v>
      </c>
      <c r="C57" s="33" t="n">
        <v>2024</v>
      </c>
      <c r="D57" s="34" t="n">
        <v>2.26</v>
      </c>
      <c r="E57" s="34" t="n">
        <v>16.87</v>
      </c>
      <c r="F57" s="34" t="n">
        <v>9.1</v>
      </c>
      <c r="G57" s="35" t="n">
        <v>1992.9</v>
      </c>
      <c r="H57" s="35" t="n">
        <v>709.9</v>
      </c>
      <c r="I57" s="34" t="n">
        <v>57.4</v>
      </c>
      <c r="J57" s="36" t="n">
        <v>0.825</v>
      </c>
      <c r="K57" s="34" t="n">
        <v>0.07</v>
      </c>
      <c r="L57" s="33" t="s">
        <v>34</v>
      </c>
      <c r="M57" s="33" t="s">
        <v>31</v>
      </c>
    </row>
    <row r="58" customFormat="false" ht="15" hidden="false" customHeight="false" outlineLevel="0" collapsed="false">
      <c r="A58" s="29" t="s">
        <v>44</v>
      </c>
      <c r="B58" s="29" t="s">
        <v>42</v>
      </c>
      <c r="C58" s="29" t="n">
        <v>2021</v>
      </c>
      <c r="D58" s="30" t="n">
        <v>7.16</v>
      </c>
      <c r="E58" s="30" t="n">
        <v>8.37</v>
      </c>
      <c r="F58" s="30" t="n">
        <v>6.96</v>
      </c>
      <c r="G58" s="31" t="n">
        <v>1202.5</v>
      </c>
      <c r="H58" s="31" t="n">
        <v>59.6</v>
      </c>
      <c r="I58" s="30" t="n">
        <v>72</v>
      </c>
      <c r="J58" s="32" t="n">
        <v>0.596</v>
      </c>
      <c r="K58" s="30" t="n">
        <v>4.67</v>
      </c>
      <c r="L58" s="29" t="s">
        <v>30</v>
      </c>
      <c r="M58" s="29" t="s">
        <v>31</v>
      </c>
    </row>
    <row r="59" customFormat="false" ht="15" hidden="false" customHeight="false" outlineLevel="0" collapsed="false">
      <c r="A59" s="33" t="s">
        <v>44</v>
      </c>
      <c r="B59" s="33" t="s">
        <v>42</v>
      </c>
      <c r="C59" s="33" t="n">
        <v>2022</v>
      </c>
      <c r="D59" s="34" t="n">
        <v>4.97</v>
      </c>
      <c r="E59" s="34" t="n">
        <v>2.76</v>
      </c>
      <c r="F59" s="34" t="n">
        <v>4.59</v>
      </c>
      <c r="G59" s="35" t="n">
        <v>302.9</v>
      </c>
      <c r="H59" s="35" t="n">
        <v>320</v>
      </c>
      <c r="I59" s="34" t="n">
        <v>49.6</v>
      </c>
      <c r="J59" s="36" t="n">
        <v>0.735</v>
      </c>
      <c r="K59" s="34" t="n">
        <v>4.81</v>
      </c>
      <c r="L59" s="33" t="s">
        <v>30</v>
      </c>
      <c r="M59" s="33" t="s">
        <v>31</v>
      </c>
    </row>
    <row r="60" customFormat="false" ht="15" hidden="false" customHeight="false" outlineLevel="0" collapsed="false">
      <c r="A60" s="29" t="s">
        <v>44</v>
      </c>
      <c r="B60" s="29" t="s">
        <v>42</v>
      </c>
      <c r="C60" s="29" t="n">
        <v>2023</v>
      </c>
      <c r="D60" s="30" t="n">
        <v>-1.8</v>
      </c>
      <c r="E60" s="30" t="n">
        <v>14.79</v>
      </c>
      <c r="F60" s="30" t="n">
        <v>7.14</v>
      </c>
      <c r="G60" s="31" t="n">
        <v>1352.1</v>
      </c>
      <c r="H60" s="31" t="n">
        <v>1486.6</v>
      </c>
      <c r="I60" s="30" t="n">
        <v>20.9</v>
      </c>
      <c r="J60" s="32" t="n">
        <v>0.635</v>
      </c>
      <c r="K60" s="30" t="n">
        <v>-1.66</v>
      </c>
      <c r="L60" s="29" t="s">
        <v>39</v>
      </c>
      <c r="M60" s="29" t="s">
        <v>38</v>
      </c>
    </row>
    <row r="61" customFormat="false" ht="15" hidden="false" customHeight="false" outlineLevel="0" collapsed="false">
      <c r="A61" s="33" t="s">
        <v>44</v>
      </c>
      <c r="B61" s="33" t="s">
        <v>42</v>
      </c>
      <c r="C61" s="33" t="n">
        <v>2024</v>
      </c>
      <c r="D61" s="34" t="n">
        <v>-0.17</v>
      </c>
      <c r="E61" s="34" t="n">
        <v>4.16</v>
      </c>
      <c r="F61" s="34" t="n">
        <v>17.7</v>
      </c>
      <c r="G61" s="35" t="n">
        <v>609.3</v>
      </c>
      <c r="H61" s="35" t="n">
        <v>-145.5</v>
      </c>
      <c r="I61" s="34" t="n">
        <v>49.1</v>
      </c>
      <c r="J61" s="36" t="n">
        <v>0.583</v>
      </c>
      <c r="K61" s="34" t="n">
        <v>1.97</v>
      </c>
      <c r="L61" s="33" t="s">
        <v>30</v>
      </c>
      <c r="M61" s="33" t="s">
        <v>35</v>
      </c>
    </row>
    <row r="62" customFormat="false" ht="15" hidden="false" customHeight="false" outlineLevel="0" collapsed="false">
      <c r="A62" s="29" t="s">
        <v>44</v>
      </c>
      <c r="B62" s="29" t="s">
        <v>43</v>
      </c>
      <c r="C62" s="29" t="n">
        <v>2021</v>
      </c>
      <c r="D62" s="30" t="n">
        <v>5.52</v>
      </c>
      <c r="E62" s="30" t="n">
        <v>8.18</v>
      </c>
      <c r="F62" s="30" t="n">
        <v>4.83</v>
      </c>
      <c r="G62" s="31" t="n">
        <v>574.5</v>
      </c>
      <c r="H62" s="31" t="n">
        <v>552.8</v>
      </c>
      <c r="I62" s="30" t="n">
        <v>37.5</v>
      </c>
      <c r="J62" s="32" t="n">
        <v>0.874</v>
      </c>
      <c r="K62" s="30" t="n">
        <v>3.59</v>
      </c>
      <c r="L62" s="29" t="s">
        <v>30</v>
      </c>
      <c r="M62" s="29" t="s">
        <v>35</v>
      </c>
    </row>
    <row r="63" customFormat="false" ht="15" hidden="false" customHeight="false" outlineLevel="0" collapsed="false">
      <c r="A63" s="33" t="s">
        <v>44</v>
      </c>
      <c r="B63" s="33" t="s">
        <v>43</v>
      </c>
      <c r="C63" s="33" t="n">
        <v>2022</v>
      </c>
      <c r="D63" s="34" t="n">
        <v>5.53</v>
      </c>
      <c r="E63" s="34" t="n">
        <v>13.64</v>
      </c>
      <c r="F63" s="34" t="n">
        <v>3.67</v>
      </c>
      <c r="G63" s="35" t="n">
        <v>1229.6</v>
      </c>
      <c r="H63" s="35" t="n">
        <v>-360.3</v>
      </c>
      <c r="I63" s="34" t="n">
        <v>53.1</v>
      </c>
      <c r="J63" s="36" t="n">
        <v>0.505</v>
      </c>
      <c r="K63" s="34" t="n">
        <v>2.29</v>
      </c>
      <c r="L63" s="33" t="s">
        <v>39</v>
      </c>
      <c r="M63" s="33" t="s">
        <v>38</v>
      </c>
    </row>
    <row r="64" customFormat="false" ht="15" hidden="false" customHeight="false" outlineLevel="0" collapsed="false">
      <c r="A64" s="29" t="s">
        <v>44</v>
      </c>
      <c r="B64" s="29" t="s">
        <v>43</v>
      </c>
      <c r="C64" s="29" t="n">
        <v>2023</v>
      </c>
      <c r="D64" s="30" t="n">
        <v>3.98</v>
      </c>
      <c r="E64" s="30" t="n">
        <v>5.48</v>
      </c>
      <c r="F64" s="30" t="n">
        <v>21.94</v>
      </c>
      <c r="G64" s="31" t="n">
        <v>1550.8</v>
      </c>
      <c r="H64" s="31" t="n">
        <v>113.3</v>
      </c>
      <c r="I64" s="30" t="n">
        <v>51.4</v>
      </c>
      <c r="J64" s="32" t="n">
        <v>0.665</v>
      </c>
      <c r="K64" s="30" t="n">
        <v>4.12</v>
      </c>
      <c r="L64" s="29" t="s">
        <v>30</v>
      </c>
      <c r="M64" s="29" t="s">
        <v>35</v>
      </c>
    </row>
    <row r="65" customFormat="false" ht="15" hidden="false" customHeight="false" outlineLevel="0" collapsed="false">
      <c r="A65" s="33" t="s">
        <v>44</v>
      </c>
      <c r="B65" s="33" t="s">
        <v>43</v>
      </c>
      <c r="C65" s="33" t="n">
        <v>2024</v>
      </c>
      <c r="D65" s="34" t="n">
        <v>2.59</v>
      </c>
      <c r="E65" s="34" t="n">
        <v>4.38</v>
      </c>
      <c r="F65" s="34" t="n">
        <v>9.25</v>
      </c>
      <c r="G65" s="35" t="n">
        <v>301.1</v>
      </c>
      <c r="H65" s="35" t="n">
        <v>505</v>
      </c>
      <c r="I65" s="34" t="n">
        <v>63</v>
      </c>
      <c r="J65" s="36" t="n">
        <v>0.709</v>
      </c>
      <c r="K65" s="34" t="n">
        <v>3.13</v>
      </c>
      <c r="L65" s="33" t="s">
        <v>30</v>
      </c>
      <c r="M65" s="33" t="s">
        <v>31</v>
      </c>
    </row>
    <row r="66" customFormat="false" ht="15" hidden="false" customHeight="false" outlineLevel="0" collapsed="false">
      <c r="A66" s="29" t="s">
        <v>45</v>
      </c>
      <c r="B66" s="29" t="s">
        <v>29</v>
      </c>
      <c r="C66" s="29" t="n">
        <v>2021</v>
      </c>
      <c r="D66" s="30" t="n">
        <v>0.27</v>
      </c>
      <c r="E66" s="30" t="n">
        <v>8.96</v>
      </c>
      <c r="F66" s="30" t="n">
        <v>5.75</v>
      </c>
      <c r="G66" s="31" t="n">
        <v>50.7</v>
      </c>
      <c r="H66" s="31" t="n">
        <v>949.8</v>
      </c>
      <c r="I66" s="30" t="n">
        <v>71.4</v>
      </c>
      <c r="J66" s="32" t="n">
        <v>0.7</v>
      </c>
      <c r="K66" s="30" t="n">
        <v>0.47</v>
      </c>
      <c r="L66" s="29" t="s">
        <v>30</v>
      </c>
      <c r="M66" s="29" t="s">
        <v>31</v>
      </c>
    </row>
    <row r="67" customFormat="false" ht="15" hidden="false" customHeight="false" outlineLevel="0" collapsed="false">
      <c r="A67" s="33" t="s">
        <v>45</v>
      </c>
      <c r="B67" s="33" t="s">
        <v>29</v>
      </c>
      <c r="C67" s="33" t="n">
        <v>2022</v>
      </c>
      <c r="D67" s="34" t="n">
        <v>-1.89</v>
      </c>
      <c r="E67" s="34" t="n">
        <v>3.41</v>
      </c>
      <c r="F67" s="34" t="n">
        <v>11.7</v>
      </c>
      <c r="G67" s="35" t="n">
        <v>213.1</v>
      </c>
      <c r="H67" s="35" t="n">
        <v>-109.8</v>
      </c>
      <c r="I67" s="34" t="n">
        <v>85.3</v>
      </c>
      <c r="J67" s="36" t="n">
        <v>0.784</v>
      </c>
      <c r="K67" s="34" t="n">
        <v>1.14</v>
      </c>
      <c r="L67" s="33" t="s">
        <v>30</v>
      </c>
      <c r="M67" s="33" t="s">
        <v>38</v>
      </c>
    </row>
    <row r="68" customFormat="false" ht="15" hidden="false" customHeight="false" outlineLevel="0" collapsed="false">
      <c r="A68" s="29" t="s">
        <v>45</v>
      </c>
      <c r="B68" s="29" t="s">
        <v>29</v>
      </c>
      <c r="C68" s="29" t="n">
        <v>2023</v>
      </c>
      <c r="D68" s="30" t="n">
        <v>-0.08</v>
      </c>
      <c r="E68" s="30" t="n">
        <v>4.35</v>
      </c>
      <c r="F68" s="30" t="n">
        <v>7.9</v>
      </c>
      <c r="G68" s="31" t="n">
        <v>655.5</v>
      </c>
      <c r="H68" s="31" t="n">
        <v>1152.4</v>
      </c>
      <c r="I68" s="30" t="n">
        <v>67.4</v>
      </c>
      <c r="J68" s="32" t="n">
        <v>0.532</v>
      </c>
      <c r="K68" s="30" t="n">
        <v>1.98</v>
      </c>
      <c r="L68" s="29" t="s">
        <v>30</v>
      </c>
      <c r="M68" s="29" t="s">
        <v>31</v>
      </c>
    </row>
    <row r="69" customFormat="false" ht="15" hidden="false" customHeight="false" outlineLevel="0" collapsed="false">
      <c r="A69" s="33" t="s">
        <v>45</v>
      </c>
      <c r="B69" s="33" t="s">
        <v>29</v>
      </c>
      <c r="C69" s="33" t="n">
        <v>2024</v>
      </c>
      <c r="D69" s="34" t="n">
        <v>1.24</v>
      </c>
      <c r="E69" s="34" t="n">
        <v>17.45</v>
      </c>
      <c r="F69" s="34" t="n">
        <v>7.14</v>
      </c>
      <c r="G69" s="35" t="n">
        <v>838.8</v>
      </c>
      <c r="H69" s="35" t="n">
        <v>507.9</v>
      </c>
      <c r="I69" s="34" t="n">
        <v>51</v>
      </c>
      <c r="J69" s="36" t="n">
        <v>0.866</v>
      </c>
      <c r="K69" s="34" t="n">
        <v>-1.2</v>
      </c>
      <c r="L69" s="33" t="s">
        <v>34</v>
      </c>
      <c r="M69" s="33" t="s">
        <v>32</v>
      </c>
    </row>
    <row r="70" customFormat="false" ht="15" hidden="false" customHeight="false" outlineLevel="0" collapsed="false">
      <c r="A70" s="29" t="s">
        <v>45</v>
      </c>
      <c r="B70" s="29" t="s">
        <v>33</v>
      </c>
      <c r="C70" s="29" t="n">
        <v>2021</v>
      </c>
      <c r="D70" s="30" t="n">
        <v>3.42</v>
      </c>
      <c r="E70" s="30" t="n">
        <v>7.59</v>
      </c>
      <c r="F70" s="30" t="n">
        <v>9.61</v>
      </c>
      <c r="G70" s="31" t="n">
        <v>133.9</v>
      </c>
      <c r="H70" s="31" t="n">
        <v>150.2</v>
      </c>
      <c r="I70" s="30" t="n">
        <v>83.9</v>
      </c>
      <c r="J70" s="32" t="n">
        <v>0.856</v>
      </c>
      <c r="K70" s="30" t="n">
        <v>2.5</v>
      </c>
      <c r="L70" s="29" t="s">
        <v>30</v>
      </c>
      <c r="M70" s="29" t="s">
        <v>35</v>
      </c>
    </row>
    <row r="71" customFormat="false" ht="15" hidden="false" customHeight="false" outlineLevel="0" collapsed="false">
      <c r="A71" s="33" t="s">
        <v>45</v>
      </c>
      <c r="B71" s="33" t="s">
        <v>33</v>
      </c>
      <c r="C71" s="33" t="n">
        <v>2022</v>
      </c>
      <c r="D71" s="34" t="n">
        <v>6.51</v>
      </c>
      <c r="E71" s="34" t="n">
        <v>14.98</v>
      </c>
      <c r="F71" s="34" t="n">
        <v>14.93</v>
      </c>
      <c r="G71" s="35" t="n">
        <v>1229.5</v>
      </c>
      <c r="H71" s="35" t="n">
        <v>936.7</v>
      </c>
      <c r="I71" s="34" t="n">
        <v>87.2</v>
      </c>
      <c r="J71" s="36" t="n">
        <v>0.71</v>
      </c>
      <c r="K71" s="34" t="n">
        <v>2.38</v>
      </c>
      <c r="L71" s="33" t="s">
        <v>39</v>
      </c>
      <c r="M71" s="33" t="s">
        <v>35</v>
      </c>
    </row>
    <row r="72" customFormat="false" ht="15" hidden="false" customHeight="false" outlineLevel="0" collapsed="false">
      <c r="A72" s="29" t="s">
        <v>45</v>
      </c>
      <c r="B72" s="29" t="s">
        <v>33</v>
      </c>
      <c r="C72" s="29" t="n">
        <v>2023</v>
      </c>
      <c r="D72" s="30" t="n">
        <v>5.28</v>
      </c>
      <c r="E72" s="30" t="n">
        <v>15.52</v>
      </c>
      <c r="F72" s="30" t="n">
        <v>13.14</v>
      </c>
      <c r="G72" s="31" t="n">
        <v>90.1</v>
      </c>
      <c r="H72" s="31" t="n">
        <v>711.8</v>
      </c>
      <c r="I72" s="30" t="n">
        <v>44.1</v>
      </c>
      <c r="J72" s="32" t="n">
        <v>0.505</v>
      </c>
      <c r="K72" s="30" t="n">
        <v>1.03</v>
      </c>
      <c r="L72" s="29" t="s">
        <v>34</v>
      </c>
      <c r="M72" s="29" t="s">
        <v>31</v>
      </c>
    </row>
    <row r="73" customFormat="false" ht="15" hidden="false" customHeight="false" outlineLevel="0" collapsed="false">
      <c r="A73" s="33" t="s">
        <v>45</v>
      </c>
      <c r="B73" s="33" t="s">
        <v>33</v>
      </c>
      <c r="C73" s="33" t="n">
        <v>2024</v>
      </c>
      <c r="D73" s="34" t="n">
        <v>-1.32</v>
      </c>
      <c r="E73" s="34" t="n">
        <v>7.11</v>
      </c>
      <c r="F73" s="34" t="n">
        <v>15.8</v>
      </c>
      <c r="G73" s="35" t="n">
        <v>621.1</v>
      </c>
      <c r="H73" s="35" t="n">
        <v>225.8</v>
      </c>
      <c r="I73" s="34" t="n">
        <v>58.7</v>
      </c>
      <c r="J73" s="36" t="n">
        <v>0.748</v>
      </c>
      <c r="K73" s="34" t="n">
        <v>0.52</v>
      </c>
      <c r="L73" s="33" t="s">
        <v>30</v>
      </c>
      <c r="M73" s="33" t="s">
        <v>31</v>
      </c>
    </row>
    <row r="74" customFormat="false" ht="15" hidden="false" customHeight="false" outlineLevel="0" collapsed="false">
      <c r="A74" s="29" t="s">
        <v>45</v>
      </c>
      <c r="B74" s="29" t="s">
        <v>36</v>
      </c>
      <c r="C74" s="29" t="n">
        <v>2021</v>
      </c>
      <c r="D74" s="30" t="n">
        <v>5.27</v>
      </c>
      <c r="E74" s="30" t="n">
        <v>6.73</v>
      </c>
      <c r="F74" s="30" t="n">
        <v>15.69</v>
      </c>
      <c r="G74" s="31" t="n">
        <v>719.2</v>
      </c>
      <c r="H74" s="31" t="n">
        <v>-102.7</v>
      </c>
      <c r="I74" s="30" t="n">
        <v>31</v>
      </c>
      <c r="J74" s="32" t="n">
        <v>0.525</v>
      </c>
      <c r="K74" s="30" t="n">
        <v>3.98</v>
      </c>
      <c r="L74" s="29" t="s">
        <v>30</v>
      </c>
      <c r="M74" s="29" t="s">
        <v>31</v>
      </c>
    </row>
    <row r="75" customFormat="false" ht="15" hidden="false" customHeight="false" outlineLevel="0" collapsed="false">
      <c r="A75" s="33" t="s">
        <v>45</v>
      </c>
      <c r="B75" s="33" t="s">
        <v>36</v>
      </c>
      <c r="C75" s="33" t="n">
        <v>2022</v>
      </c>
      <c r="D75" s="34" t="n">
        <v>2.75</v>
      </c>
      <c r="E75" s="34" t="n">
        <v>8.86</v>
      </c>
      <c r="F75" s="34" t="n">
        <v>13.34</v>
      </c>
      <c r="G75" s="35" t="n">
        <v>790</v>
      </c>
      <c r="H75" s="35" t="n">
        <v>684.2</v>
      </c>
      <c r="I75" s="34" t="n">
        <v>78.3</v>
      </c>
      <c r="J75" s="36" t="n">
        <v>0.612</v>
      </c>
      <c r="K75" s="34" t="n">
        <v>2.11</v>
      </c>
      <c r="L75" s="33" t="s">
        <v>30</v>
      </c>
      <c r="M75" s="33" t="s">
        <v>31</v>
      </c>
    </row>
    <row r="76" customFormat="false" ht="15" hidden="false" customHeight="false" outlineLevel="0" collapsed="false">
      <c r="A76" s="29" t="s">
        <v>45</v>
      </c>
      <c r="B76" s="29" t="s">
        <v>36</v>
      </c>
      <c r="C76" s="29" t="n">
        <v>2023</v>
      </c>
      <c r="D76" s="30" t="n">
        <v>7.18</v>
      </c>
      <c r="E76" s="30" t="n">
        <v>17.71</v>
      </c>
      <c r="F76" s="30" t="n">
        <v>9.68</v>
      </c>
      <c r="G76" s="31" t="n">
        <v>173.1</v>
      </c>
      <c r="H76" s="31" t="n">
        <v>862.1</v>
      </c>
      <c r="I76" s="30" t="n">
        <v>84.3</v>
      </c>
      <c r="J76" s="32" t="n">
        <v>0.608</v>
      </c>
      <c r="K76" s="30" t="n">
        <v>1.36</v>
      </c>
      <c r="L76" s="29" t="s">
        <v>34</v>
      </c>
      <c r="M76" s="29" t="s">
        <v>38</v>
      </c>
    </row>
    <row r="77" customFormat="false" ht="15" hidden="false" customHeight="false" outlineLevel="0" collapsed="false">
      <c r="A77" s="33" t="s">
        <v>45</v>
      </c>
      <c r="B77" s="33" t="s">
        <v>36</v>
      </c>
      <c r="C77" s="33" t="n">
        <v>2024</v>
      </c>
      <c r="D77" s="34" t="n">
        <v>3.93</v>
      </c>
      <c r="E77" s="34" t="n">
        <v>11.5</v>
      </c>
      <c r="F77" s="34" t="n">
        <v>14.48</v>
      </c>
      <c r="G77" s="35" t="n">
        <v>1954.5</v>
      </c>
      <c r="H77" s="35" t="n">
        <v>1487.9</v>
      </c>
      <c r="I77" s="34" t="n">
        <v>39.3</v>
      </c>
      <c r="J77" s="36" t="n">
        <v>0.835</v>
      </c>
      <c r="K77" s="34" t="n">
        <v>2.49</v>
      </c>
      <c r="L77" s="33" t="s">
        <v>39</v>
      </c>
      <c r="M77" s="33" t="s">
        <v>35</v>
      </c>
    </row>
    <row r="78" customFormat="false" ht="15" hidden="false" customHeight="false" outlineLevel="0" collapsed="false">
      <c r="A78" s="29" t="s">
        <v>45</v>
      </c>
      <c r="B78" s="29" t="s">
        <v>37</v>
      </c>
      <c r="C78" s="29" t="n">
        <v>2021</v>
      </c>
      <c r="D78" s="30" t="n">
        <v>4.67</v>
      </c>
      <c r="E78" s="30" t="n">
        <v>17.71</v>
      </c>
      <c r="F78" s="30" t="n">
        <v>5.46</v>
      </c>
      <c r="G78" s="31" t="n">
        <v>1941.6</v>
      </c>
      <c r="H78" s="31" t="n">
        <v>823</v>
      </c>
      <c r="I78" s="30" t="n">
        <v>73.7</v>
      </c>
      <c r="J78" s="32" t="n">
        <v>0.857</v>
      </c>
      <c r="K78" s="30" t="n">
        <v>0.99</v>
      </c>
      <c r="L78" s="29" t="s">
        <v>34</v>
      </c>
      <c r="M78" s="29" t="s">
        <v>38</v>
      </c>
    </row>
    <row r="79" customFormat="false" ht="15" hidden="false" customHeight="false" outlineLevel="0" collapsed="false">
      <c r="A79" s="33" t="s">
        <v>45</v>
      </c>
      <c r="B79" s="33" t="s">
        <v>37</v>
      </c>
      <c r="C79" s="33" t="n">
        <v>2022</v>
      </c>
      <c r="D79" s="34" t="n">
        <v>-0.58</v>
      </c>
      <c r="E79" s="34" t="n">
        <v>8.58</v>
      </c>
      <c r="F79" s="34" t="n">
        <v>13.5</v>
      </c>
      <c r="G79" s="35" t="n">
        <v>567</v>
      </c>
      <c r="H79" s="35" t="n">
        <v>368.4</v>
      </c>
      <c r="I79" s="34" t="n">
        <v>46.9</v>
      </c>
      <c r="J79" s="36" t="n">
        <v>0.81</v>
      </c>
      <c r="K79" s="34" t="n">
        <v>0.42</v>
      </c>
      <c r="L79" s="33" t="s">
        <v>30</v>
      </c>
      <c r="M79" s="33" t="s">
        <v>38</v>
      </c>
    </row>
    <row r="80" customFormat="false" ht="15" hidden="false" customHeight="false" outlineLevel="0" collapsed="false">
      <c r="A80" s="29" t="s">
        <v>45</v>
      </c>
      <c r="B80" s="29" t="s">
        <v>37</v>
      </c>
      <c r="C80" s="29" t="n">
        <v>2023</v>
      </c>
      <c r="D80" s="30" t="n">
        <v>-1.71</v>
      </c>
      <c r="E80" s="30" t="n">
        <v>9.87</v>
      </c>
      <c r="F80" s="30" t="n">
        <v>12.08</v>
      </c>
      <c r="G80" s="31" t="n">
        <v>179.3</v>
      </c>
      <c r="H80" s="31" t="n">
        <v>1259.4</v>
      </c>
      <c r="I80" s="30" t="n">
        <v>36.9</v>
      </c>
      <c r="J80" s="32" t="n">
        <v>0.668</v>
      </c>
      <c r="K80" s="30" t="n">
        <v>-0.73</v>
      </c>
      <c r="L80" s="29" t="s">
        <v>30</v>
      </c>
      <c r="M80" s="29" t="s">
        <v>31</v>
      </c>
    </row>
    <row r="81" customFormat="false" ht="15" hidden="false" customHeight="false" outlineLevel="0" collapsed="false">
      <c r="A81" s="33" t="s">
        <v>45</v>
      </c>
      <c r="B81" s="33" t="s">
        <v>37</v>
      </c>
      <c r="C81" s="33" t="n">
        <v>2024</v>
      </c>
      <c r="D81" s="34" t="n">
        <v>-0.73</v>
      </c>
      <c r="E81" s="34" t="n">
        <v>14.98</v>
      </c>
      <c r="F81" s="34" t="n">
        <v>4.33</v>
      </c>
      <c r="G81" s="35" t="n">
        <v>742.3</v>
      </c>
      <c r="H81" s="35" t="n">
        <v>1413.9</v>
      </c>
      <c r="I81" s="34" t="n">
        <v>87.6</v>
      </c>
      <c r="J81" s="36" t="n">
        <v>0.849</v>
      </c>
      <c r="K81" s="34" t="n">
        <v>-1.49</v>
      </c>
      <c r="L81" s="33" t="s">
        <v>39</v>
      </c>
      <c r="M81" s="33" t="s">
        <v>38</v>
      </c>
    </row>
    <row r="82" customFormat="false" ht="15" hidden="false" customHeight="false" outlineLevel="0" collapsed="false">
      <c r="A82" s="29" t="s">
        <v>45</v>
      </c>
      <c r="B82" s="29" t="s">
        <v>40</v>
      </c>
      <c r="C82" s="29" t="n">
        <v>2021</v>
      </c>
      <c r="D82" s="30" t="n">
        <v>5.76</v>
      </c>
      <c r="E82" s="30" t="n">
        <v>10.57</v>
      </c>
      <c r="F82" s="30" t="n">
        <v>3.76</v>
      </c>
      <c r="G82" s="31" t="n">
        <v>79.3</v>
      </c>
      <c r="H82" s="31" t="n">
        <v>-67.8</v>
      </c>
      <c r="I82" s="30" t="n">
        <v>71.4</v>
      </c>
      <c r="J82" s="32" t="n">
        <v>0.457</v>
      </c>
      <c r="K82" s="30" t="n">
        <v>2.75</v>
      </c>
      <c r="L82" s="29" t="s">
        <v>39</v>
      </c>
      <c r="M82" s="29" t="s">
        <v>35</v>
      </c>
    </row>
    <row r="83" customFormat="false" ht="15" hidden="false" customHeight="false" outlineLevel="0" collapsed="false">
      <c r="A83" s="33" t="s">
        <v>45</v>
      </c>
      <c r="B83" s="33" t="s">
        <v>40</v>
      </c>
      <c r="C83" s="33" t="n">
        <v>2022</v>
      </c>
      <c r="D83" s="34" t="n">
        <v>4.43</v>
      </c>
      <c r="E83" s="34" t="n">
        <v>14.19</v>
      </c>
      <c r="F83" s="34" t="n">
        <v>12.44</v>
      </c>
      <c r="G83" s="35" t="n">
        <v>1450.6</v>
      </c>
      <c r="H83" s="35" t="n">
        <v>-66.7</v>
      </c>
      <c r="I83" s="34" t="n">
        <v>23.1</v>
      </c>
      <c r="J83" s="36" t="n">
        <v>0.545</v>
      </c>
      <c r="K83" s="34" t="n">
        <v>1.68</v>
      </c>
      <c r="L83" s="33" t="s">
        <v>39</v>
      </c>
      <c r="M83" s="33" t="s">
        <v>32</v>
      </c>
    </row>
    <row r="84" customFormat="false" ht="15" hidden="false" customHeight="false" outlineLevel="0" collapsed="false">
      <c r="A84" s="29" t="s">
        <v>45</v>
      </c>
      <c r="B84" s="29" t="s">
        <v>40</v>
      </c>
      <c r="C84" s="29" t="n">
        <v>2023</v>
      </c>
      <c r="D84" s="30" t="n">
        <v>-0.16</v>
      </c>
      <c r="E84" s="30" t="n">
        <v>4.01</v>
      </c>
      <c r="F84" s="30" t="n">
        <v>19.36</v>
      </c>
      <c r="G84" s="31" t="n">
        <v>1624.9</v>
      </c>
      <c r="H84" s="31" t="n">
        <v>415.3</v>
      </c>
      <c r="I84" s="30" t="n">
        <v>78.4</v>
      </c>
      <c r="J84" s="32" t="n">
        <v>0.459</v>
      </c>
      <c r="K84" s="30" t="n">
        <v>2.53</v>
      </c>
      <c r="L84" s="29" t="s">
        <v>30</v>
      </c>
      <c r="M84" s="29" t="s">
        <v>31</v>
      </c>
    </row>
    <row r="85" customFormat="false" ht="15" hidden="false" customHeight="false" outlineLevel="0" collapsed="false">
      <c r="A85" s="33" t="s">
        <v>45</v>
      </c>
      <c r="B85" s="33" t="s">
        <v>40</v>
      </c>
      <c r="C85" s="33" t="n">
        <v>2024</v>
      </c>
      <c r="D85" s="34" t="n">
        <v>1.02</v>
      </c>
      <c r="E85" s="34" t="n">
        <v>12</v>
      </c>
      <c r="F85" s="34" t="n">
        <v>16.04</v>
      </c>
      <c r="G85" s="35" t="n">
        <v>1160.7</v>
      </c>
      <c r="H85" s="35" t="n">
        <v>1196.9</v>
      </c>
      <c r="I85" s="34" t="n">
        <v>85.7</v>
      </c>
      <c r="J85" s="36" t="n">
        <v>0.664</v>
      </c>
      <c r="K85" s="34" t="n">
        <v>0.49</v>
      </c>
      <c r="L85" s="33" t="s">
        <v>39</v>
      </c>
      <c r="M85" s="33" t="s">
        <v>35</v>
      </c>
    </row>
    <row r="86" customFormat="false" ht="15" hidden="false" customHeight="false" outlineLevel="0" collapsed="false">
      <c r="A86" s="29" t="s">
        <v>45</v>
      </c>
      <c r="B86" s="29" t="s">
        <v>41</v>
      </c>
      <c r="C86" s="29" t="n">
        <v>2021</v>
      </c>
      <c r="D86" s="30" t="n">
        <v>0.84</v>
      </c>
      <c r="E86" s="30" t="n">
        <v>7.58</v>
      </c>
      <c r="F86" s="30" t="n">
        <v>19.93</v>
      </c>
      <c r="G86" s="31" t="n">
        <v>1398.2</v>
      </c>
      <c r="H86" s="31" t="n">
        <v>-436.2</v>
      </c>
      <c r="I86" s="30" t="n">
        <v>43.1</v>
      </c>
      <c r="J86" s="32" t="n">
        <v>0.804</v>
      </c>
      <c r="K86" s="30" t="n">
        <v>1.85</v>
      </c>
      <c r="L86" s="29" t="s">
        <v>30</v>
      </c>
      <c r="M86" s="29" t="s">
        <v>35</v>
      </c>
    </row>
    <row r="87" customFormat="false" ht="15" hidden="false" customHeight="false" outlineLevel="0" collapsed="false">
      <c r="A87" s="33" t="s">
        <v>45</v>
      </c>
      <c r="B87" s="33" t="s">
        <v>41</v>
      </c>
      <c r="C87" s="33" t="n">
        <v>2022</v>
      </c>
      <c r="D87" s="34" t="n">
        <v>4.66</v>
      </c>
      <c r="E87" s="34" t="n">
        <v>17.3</v>
      </c>
      <c r="F87" s="34" t="n">
        <v>8.01</v>
      </c>
      <c r="G87" s="35" t="n">
        <v>1049.3</v>
      </c>
      <c r="H87" s="35" t="n">
        <v>457.2</v>
      </c>
      <c r="I87" s="34" t="n">
        <v>25.6</v>
      </c>
      <c r="J87" s="36" t="n">
        <v>0.754</v>
      </c>
      <c r="K87" s="34" t="n">
        <v>0.66</v>
      </c>
      <c r="L87" s="33" t="s">
        <v>34</v>
      </c>
      <c r="M87" s="33" t="s">
        <v>38</v>
      </c>
    </row>
    <row r="88" customFormat="false" ht="15" hidden="false" customHeight="false" outlineLevel="0" collapsed="false">
      <c r="A88" s="29" t="s">
        <v>45</v>
      </c>
      <c r="B88" s="29" t="s">
        <v>41</v>
      </c>
      <c r="C88" s="29" t="n">
        <v>2023</v>
      </c>
      <c r="D88" s="30" t="n">
        <v>7.58</v>
      </c>
      <c r="E88" s="30" t="n">
        <v>6.85</v>
      </c>
      <c r="F88" s="30" t="n">
        <v>3</v>
      </c>
      <c r="G88" s="31" t="n">
        <v>385.2</v>
      </c>
      <c r="H88" s="31" t="n">
        <v>1451</v>
      </c>
      <c r="I88" s="30" t="n">
        <v>69.2</v>
      </c>
      <c r="J88" s="32" t="n">
        <v>0.55</v>
      </c>
      <c r="K88" s="30" t="n">
        <v>4.93</v>
      </c>
      <c r="L88" s="29" t="s">
        <v>30</v>
      </c>
      <c r="M88" s="29" t="s">
        <v>31</v>
      </c>
    </row>
    <row r="89" customFormat="false" ht="15" hidden="false" customHeight="false" outlineLevel="0" collapsed="false">
      <c r="A89" s="33" t="s">
        <v>45</v>
      </c>
      <c r="B89" s="33" t="s">
        <v>41</v>
      </c>
      <c r="C89" s="33" t="n">
        <v>2024</v>
      </c>
      <c r="D89" s="34" t="n">
        <v>-0.41</v>
      </c>
      <c r="E89" s="34" t="n">
        <v>15.79</v>
      </c>
      <c r="F89" s="34" t="n">
        <v>8.7</v>
      </c>
      <c r="G89" s="35" t="n">
        <v>677.6</v>
      </c>
      <c r="H89" s="35" t="n">
        <v>216.9</v>
      </c>
      <c r="I89" s="34" t="n">
        <v>31.3</v>
      </c>
      <c r="J89" s="36" t="n">
        <v>0.564</v>
      </c>
      <c r="K89" s="34" t="n">
        <v>-1.6</v>
      </c>
      <c r="L89" s="33" t="s">
        <v>34</v>
      </c>
      <c r="M89" s="33" t="s">
        <v>35</v>
      </c>
    </row>
    <row r="90" customFormat="false" ht="15" hidden="false" customHeight="false" outlineLevel="0" collapsed="false">
      <c r="A90" s="29" t="s">
        <v>45</v>
      </c>
      <c r="B90" s="29" t="s">
        <v>42</v>
      </c>
      <c r="C90" s="29" t="n">
        <v>2021</v>
      </c>
      <c r="D90" s="30" t="n">
        <v>-1.94</v>
      </c>
      <c r="E90" s="30" t="n">
        <v>10.75</v>
      </c>
      <c r="F90" s="30" t="n">
        <v>11.83</v>
      </c>
      <c r="G90" s="31" t="n">
        <v>1484.9</v>
      </c>
      <c r="H90" s="31" t="n">
        <v>462.7</v>
      </c>
      <c r="I90" s="30" t="n">
        <v>42.3</v>
      </c>
      <c r="J90" s="32" t="n">
        <v>0.722</v>
      </c>
      <c r="K90" s="30" t="n">
        <v>-0.45</v>
      </c>
      <c r="L90" s="29" t="s">
        <v>39</v>
      </c>
      <c r="M90" s="29" t="s">
        <v>38</v>
      </c>
    </row>
    <row r="91" customFormat="false" ht="15" hidden="false" customHeight="false" outlineLevel="0" collapsed="false">
      <c r="A91" s="33" t="s">
        <v>45</v>
      </c>
      <c r="B91" s="33" t="s">
        <v>42</v>
      </c>
      <c r="C91" s="33" t="n">
        <v>2022</v>
      </c>
      <c r="D91" s="34" t="n">
        <v>3.67</v>
      </c>
      <c r="E91" s="34" t="n">
        <v>13.05</v>
      </c>
      <c r="F91" s="34" t="n">
        <v>3.92</v>
      </c>
      <c r="G91" s="35" t="n">
        <v>827.9</v>
      </c>
      <c r="H91" s="35" t="n">
        <v>836.2</v>
      </c>
      <c r="I91" s="34" t="n">
        <v>30.7</v>
      </c>
      <c r="J91" s="36" t="n">
        <v>0.862</v>
      </c>
      <c r="K91" s="34" t="n">
        <v>1.33</v>
      </c>
      <c r="L91" s="33" t="s">
        <v>39</v>
      </c>
      <c r="M91" s="33" t="s">
        <v>35</v>
      </c>
    </row>
    <row r="92" customFormat="false" ht="15" hidden="false" customHeight="false" outlineLevel="0" collapsed="false">
      <c r="A92" s="29" t="s">
        <v>45</v>
      </c>
      <c r="B92" s="29" t="s">
        <v>42</v>
      </c>
      <c r="C92" s="29" t="n">
        <v>2023</v>
      </c>
      <c r="D92" s="30" t="n">
        <v>3</v>
      </c>
      <c r="E92" s="30" t="n">
        <v>14.69</v>
      </c>
      <c r="F92" s="30" t="n">
        <v>10.54</v>
      </c>
      <c r="G92" s="31" t="n">
        <v>693.9</v>
      </c>
      <c r="H92" s="31" t="n">
        <v>347.1</v>
      </c>
      <c r="I92" s="30" t="n">
        <v>42.1</v>
      </c>
      <c r="J92" s="32" t="n">
        <v>0.87</v>
      </c>
      <c r="K92" s="30" t="n">
        <v>0.44</v>
      </c>
      <c r="L92" s="29" t="s">
        <v>39</v>
      </c>
      <c r="M92" s="29" t="s">
        <v>31</v>
      </c>
    </row>
    <row r="93" customFormat="false" ht="15" hidden="false" customHeight="false" outlineLevel="0" collapsed="false">
      <c r="A93" s="33" t="s">
        <v>45</v>
      </c>
      <c r="B93" s="33" t="s">
        <v>42</v>
      </c>
      <c r="C93" s="33" t="n">
        <v>2024</v>
      </c>
      <c r="D93" s="34" t="n">
        <v>-1.11</v>
      </c>
      <c r="E93" s="34" t="n">
        <v>17.59</v>
      </c>
      <c r="F93" s="34" t="n">
        <v>17.42</v>
      </c>
      <c r="G93" s="35" t="n">
        <v>1599.7</v>
      </c>
      <c r="H93" s="35" t="n">
        <v>273.4</v>
      </c>
      <c r="I93" s="34" t="n">
        <v>88</v>
      </c>
      <c r="J93" s="36" t="n">
        <v>0.756</v>
      </c>
      <c r="K93" s="34" t="n">
        <v>-2.03</v>
      </c>
      <c r="L93" s="33" t="s">
        <v>34</v>
      </c>
      <c r="M93" s="33" t="s">
        <v>35</v>
      </c>
    </row>
    <row r="94" customFormat="false" ht="15" hidden="false" customHeight="false" outlineLevel="0" collapsed="false">
      <c r="A94" s="29" t="s">
        <v>45</v>
      </c>
      <c r="B94" s="29" t="s">
        <v>43</v>
      </c>
      <c r="C94" s="29" t="n">
        <v>2021</v>
      </c>
      <c r="D94" s="30" t="n">
        <v>1.41</v>
      </c>
      <c r="E94" s="30" t="n">
        <v>4.95</v>
      </c>
      <c r="F94" s="30" t="n">
        <v>16.77</v>
      </c>
      <c r="G94" s="31" t="n">
        <v>218</v>
      </c>
      <c r="H94" s="31" t="n">
        <v>441.4</v>
      </c>
      <c r="I94" s="30" t="n">
        <v>35.1</v>
      </c>
      <c r="J94" s="32" t="n">
        <v>0.87</v>
      </c>
      <c r="K94" s="30" t="n">
        <v>2.33</v>
      </c>
      <c r="L94" s="29" t="s">
        <v>30</v>
      </c>
      <c r="M94" s="29" t="s">
        <v>32</v>
      </c>
    </row>
    <row r="95" customFormat="false" ht="15" hidden="false" customHeight="false" outlineLevel="0" collapsed="false">
      <c r="A95" s="33" t="s">
        <v>45</v>
      </c>
      <c r="B95" s="33" t="s">
        <v>43</v>
      </c>
      <c r="C95" s="33" t="n">
        <v>2022</v>
      </c>
      <c r="D95" s="34" t="n">
        <v>1.39</v>
      </c>
      <c r="E95" s="34" t="n">
        <v>2.11</v>
      </c>
      <c r="F95" s="34" t="n">
        <v>6.47</v>
      </c>
      <c r="G95" s="35" t="n">
        <v>1134.5</v>
      </c>
      <c r="H95" s="35" t="n">
        <v>773.9</v>
      </c>
      <c r="I95" s="34" t="n">
        <v>61.8</v>
      </c>
      <c r="J95" s="36" t="n">
        <v>0.727</v>
      </c>
      <c r="K95" s="34" t="n">
        <v>3.63</v>
      </c>
      <c r="L95" s="33" t="s">
        <v>30</v>
      </c>
      <c r="M95" s="33" t="s">
        <v>38</v>
      </c>
    </row>
    <row r="96" customFormat="false" ht="15" hidden="false" customHeight="false" outlineLevel="0" collapsed="false">
      <c r="A96" s="29" t="s">
        <v>45</v>
      </c>
      <c r="B96" s="29" t="s">
        <v>43</v>
      </c>
      <c r="C96" s="29" t="n">
        <v>2023</v>
      </c>
      <c r="D96" s="30" t="n">
        <v>0.77</v>
      </c>
      <c r="E96" s="30" t="n">
        <v>17.37</v>
      </c>
      <c r="F96" s="30" t="n">
        <v>14.84</v>
      </c>
      <c r="G96" s="31" t="n">
        <v>329.6</v>
      </c>
      <c r="H96" s="31" t="n">
        <v>637.4</v>
      </c>
      <c r="I96" s="30" t="n">
        <v>68.4</v>
      </c>
      <c r="J96" s="32" t="n">
        <v>0.508</v>
      </c>
      <c r="K96" s="30" t="n">
        <v>-1.66</v>
      </c>
      <c r="L96" s="29" t="s">
        <v>34</v>
      </c>
      <c r="M96" s="29" t="s">
        <v>32</v>
      </c>
    </row>
    <row r="97" customFormat="false" ht="15" hidden="false" customHeight="false" outlineLevel="0" collapsed="false">
      <c r="A97" s="33" t="s">
        <v>45</v>
      </c>
      <c r="B97" s="33" t="s">
        <v>43</v>
      </c>
      <c r="C97" s="33" t="n">
        <v>2024</v>
      </c>
      <c r="D97" s="34" t="n">
        <v>7.91</v>
      </c>
      <c r="E97" s="34" t="n">
        <v>9.43</v>
      </c>
      <c r="F97" s="34" t="n">
        <v>11.64</v>
      </c>
      <c r="G97" s="35" t="n">
        <v>1061.4</v>
      </c>
      <c r="H97" s="35" t="n">
        <v>693.9</v>
      </c>
      <c r="I97" s="34" t="n">
        <v>41</v>
      </c>
      <c r="J97" s="36" t="n">
        <v>0.642</v>
      </c>
      <c r="K97" s="34" t="n">
        <v>4.66</v>
      </c>
      <c r="L97" s="33" t="s">
        <v>30</v>
      </c>
      <c r="M97" s="33" t="s">
        <v>32</v>
      </c>
    </row>
    <row r="98" customFormat="false" ht="15" hidden="false" customHeight="false" outlineLevel="0" collapsed="false">
      <c r="A98" s="29" t="s">
        <v>46</v>
      </c>
      <c r="B98" s="29" t="s">
        <v>29</v>
      </c>
      <c r="C98" s="29" t="n">
        <v>2021</v>
      </c>
      <c r="D98" s="30" t="n">
        <v>5.79</v>
      </c>
      <c r="E98" s="30" t="n">
        <v>9.74</v>
      </c>
      <c r="F98" s="30" t="n">
        <v>21.33</v>
      </c>
      <c r="G98" s="31" t="n">
        <v>1809.5</v>
      </c>
      <c r="H98" s="31" t="n">
        <v>409</v>
      </c>
      <c r="I98" s="30" t="n">
        <v>28.5</v>
      </c>
      <c r="J98" s="32" t="n">
        <v>0.661</v>
      </c>
      <c r="K98" s="30" t="n">
        <v>3.88</v>
      </c>
      <c r="L98" s="29" t="s">
        <v>30</v>
      </c>
      <c r="M98" s="29" t="s">
        <v>32</v>
      </c>
    </row>
    <row r="99" customFormat="false" ht="15" hidden="false" customHeight="false" outlineLevel="0" collapsed="false">
      <c r="A99" s="33" t="s">
        <v>46</v>
      </c>
      <c r="B99" s="33" t="s">
        <v>29</v>
      </c>
      <c r="C99" s="33" t="n">
        <v>2022</v>
      </c>
      <c r="D99" s="34" t="n">
        <v>2.36</v>
      </c>
      <c r="E99" s="34" t="n">
        <v>17.15</v>
      </c>
      <c r="F99" s="34" t="n">
        <v>18.74</v>
      </c>
      <c r="G99" s="35" t="n">
        <v>1471.8</v>
      </c>
      <c r="H99" s="35" t="n">
        <v>-247.2</v>
      </c>
      <c r="I99" s="34" t="n">
        <v>74.8</v>
      </c>
      <c r="J99" s="36" t="n">
        <v>0.851</v>
      </c>
      <c r="K99" s="34" t="n">
        <v>-0.23</v>
      </c>
      <c r="L99" s="33" t="s">
        <v>34</v>
      </c>
      <c r="M99" s="33" t="s">
        <v>32</v>
      </c>
    </row>
    <row r="100" customFormat="false" ht="15" hidden="false" customHeight="false" outlineLevel="0" collapsed="false">
      <c r="A100" s="29" t="s">
        <v>46</v>
      </c>
      <c r="B100" s="29" t="s">
        <v>29</v>
      </c>
      <c r="C100" s="29" t="n">
        <v>2023</v>
      </c>
      <c r="D100" s="30" t="n">
        <v>7.52</v>
      </c>
      <c r="E100" s="30" t="n">
        <v>16.88</v>
      </c>
      <c r="F100" s="30" t="n">
        <v>21.83</v>
      </c>
      <c r="G100" s="31" t="n">
        <v>50.6</v>
      </c>
      <c r="H100" s="31" t="n">
        <v>-247.3</v>
      </c>
      <c r="I100" s="30" t="n">
        <v>72.1</v>
      </c>
      <c r="J100" s="32" t="n">
        <v>0.508</v>
      </c>
      <c r="K100" s="30" t="n">
        <v>1.72</v>
      </c>
      <c r="L100" s="29" t="s">
        <v>34</v>
      </c>
      <c r="M100" s="29" t="s">
        <v>35</v>
      </c>
    </row>
    <row r="101" customFormat="false" ht="15" hidden="false" customHeight="false" outlineLevel="0" collapsed="false">
      <c r="A101" s="33" t="s">
        <v>46</v>
      </c>
      <c r="B101" s="33" t="s">
        <v>29</v>
      </c>
      <c r="C101" s="33" t="n">
        <v>2024</v>
      </c>
      <c r="D101" s="34" t="n">
        <v>5.71</v>
      </c>
      <c r="E101" s="34" t="n">
        <v>6.06</v>
      </c>
      <c r="F101" s="34" t="n">
        <v>9.57</v>
      </c>
      <c r="G101" s="35" t="n">
        <v>1952.9</v>
      </c>
      <c r="H101" s="35" t="n">
        <v>1416.4</v>
      </c>
      <c r="I101" s="34" t="n">
        <v>73.7</v>
      </c>
      <c r="J101" s="36" t="n">
        <v>0.467</v>
      </c>
      <c r="K101" s="34" t="n">
        <v>5.01</v>
      </c>
      <c r="L101" s="33" t="s">
        <v>30</v>
      </c>
      <c r="M101" s="33" t="s">
        <v>35</v>
      </c>
    </row>
    <row r="102" customFormat="false" ht="15" hidden="false" customHeight="false" outlineLevel="0" collapsed="false">
      <c r="A102" s="29" t="s">
        <v>46</v>
      </c>
      <c r="B102" s="29" t="s">
        <v>33</v>
      </c>
      <c r="C102" s="29" t="n">
        <v>2021</v>
      </c>
      <c r="D102" s="30" t="n">
        <v>7.4</v>
      </c>
      <c r="E102" s="30" t="n">
        <v>17.91</v>
      </c>
      <c r="F102" s="30" t="n">
        <v>7.05</v>
      </c>
      <c r="G102" s="31" t="n">
        <v>1519</v>
      </c>
      <c r="H102" s="31" t="n">
        <v>-132.2</v>
      </c>
      <c r="I102" s="30" t="n">
        <v>38.5</v>
      </c>
      <c r="J102" s="32" t="n">
        <v>0.602</v>
      </c>
      <c r="K102" s="30" t="n">
        <v>2.09</v>
      </c>
      <c r="L102" s="29" t="s">
        <v>34</v>
      </c>
      <c r="M102" s="29" t="s">
        <v>38</v>
      </c>
    </row>
    <row r="103" customFormat="false" ht="15" hidden="false" customHeight="false" outlineLevel="0" collapsed="false">
      <c r="A103" s="33" t="s">
        <v>46</v>
      </c>
      <c r="B103" s="33" t="s">
        <v>33</v>
      </c>
      <c r="C103" s="33" t="n">
        <v>2022</v>
      </c>
      <c r="D103" s="34" t="n">
        <v>1.47</v>
      </c>
      <c r="E103" s="34" t="n">
        <v>16.4</v>
      </c>
      <c r="F103" s="34" t="n">
        <v>7.63</v>
      </c>
      <c r="G103" s="35" t="n">
        <v>83.9</v>
      </c>
      <c r="H103" s="35" t="n">
        <v>403.7</v>
      </c>
      <c r="I103" s="34" t="n">
        <v>31.7</v>
      </c>
      <c r="J103" s="36" t="n">
        <v>0.861</v>
      </c>
      <c r="K103" s="34" t="n">
        <v>-1.14</v>
      </c>
      <c r="L103" s="33" t="s">
        <v>34</v>
      </c>
      <c r="M103" s="33" t="s">
        <v>35</v>
      </c>
    </row>
    <row r="104" customFormat="false" ht="15" hidden="false" customHeight="false" outlineLevel="0" collapsed="false">
      <c r="A104" s="29" t="s">
        <v>46</v>
      </c>
      <c r="B104" s="29" t="s">
        <v>33</v>
      </c>
      <c r="C104" s="29" t="n">
        <v>2023</v>
      </c>
      <c r="D104" s="30" t="n">
        <v>5.98</v>
      </c>
      <c r="E104" s="30" t="n">
        <v>8.4</v>
      </c>
      <c r="F104" s="30" t="n">
        <v>18.14</v>
      </c>
      <c r="G104" s="31" t="n">
        <v>1554.7</v>
      </c>
      <c r="H104" s="31" t="n">
        <v>1175.6</v>
      </c>
      <c r="I104" s="30" t="n">
        <v>43.8</v>
      </c>
      <c r="J104" s="32" t="n">
        <v>0.754</v>
      </c>
      <c r="K104" s="30" t="n">
        <v>4.25</v>
      </c>
      <c r="L104" s="29" t="s">
        <v>30</v>
      </c>
      <c r="M104" s="29" t="s">
        <v>32</v>
      </c>
    </row>
    <row r="105" customFormat="false" ht="15" hidden="false" customHeight="false" outlineLevel="0" collapsed="false">
      <c r="A105" s="33" t="s">
        <v>46</v>
      </c>
      <c r="B105" s="33" t="s">
        <v>33</v>
      </c>
      <c r="C105" s="33" t="n">
        <v>2024</v>
      </c>
      <c r="D105" s="34" t="n">
        <v>1.34</v>
      </c>
      <c r="E105" s="34" t="n">
        <v>6.83</v>
      </c>
      <c r="F105" s="34" t="n">
        <v>15.25</v>
      </c>
      <c r="G105" s="35" t="n">
        <v>1314.2</v>
      </c>
      <c r="H105" s="35" t="n">
        <v>-470.9</v>
      </c>
      <c r="I105" s="34" t="n">
        <v>22</v>
      </c>
      <c r="J105" s="36" t="n">
        <v>0.68</v>
      </c>
      <c r="K105" s="34" t="n">
        <v>2.28</v>
      </c>
      <c r="L105" s="33" t="s">
        <v>30</v>
      </c>
      <c r="M105" s="33" t="s">
        <v>31</v>
      </c>
    </row>
    <row r="106" customFormat="false" ht="15" hidden="false" customHeight="false" outlineLevel="0" collapsed="false">
      <c r="A106" s="29" t="s">
        <v>46</v>
      </c>
      <c r="B106" s="29" t="s">
        <v>36</v>
      </c>
      <c r="C106" s="29" t="n">
        <v>2021</v>
      </c>
      <c r="D106" s="30" t="n">
        <v>1.32</v>
      </c>
      <c r="E106" s="30" t="n">
        <v>17.7</v>
      </c>
      <c r="F106" s="30" t="n">
        <v>3.54</v>
      </c>
      <c r="G106" s="31" t="n">
        <v>878.2</v>
      </c>
      <c r="H106" s="31" t="n">
        <v>1351.9</v>
      </c>
      <c r="I106" s="30" t="n">
        <v>46.1</v>
      </c>
      <c r="J106" s="32" t="n">
        <v>0.843</v>
      </c>
      <c r="K106" s="30" t="n">
        <v>-1.21</v>
      </c>
      <c r="L106" s="29" t="s">
        <v>34</v>
      </c>
      <c r="M106" s="29" t="s">
        <v>31</v>
      </c>
    </row>
    <row r="107" customFormat="false" ht="15" hidden="false" customHeight="false" outlineLevel="0" collapsed="false">
      <c r="A107" s="33" t="s">
        <v>46</v>
      </c>
      <c r="B107" s="33" t="s">
        <v>36</v>
      </c>
      <c r="C107" s="33" t="n">
        <v>2022</v>
      </c>
      <c r="D107" s="34" t="n">
        <v>-0.25</v>
      </c>
      <c r="E107" s="34" t="n">
        <v>7.74</v>
      </c>
      <c r="F107" s="34" t="n">
        <v>14.2</v>
      </c>
      <c r="G107" s="35" t="n">
        <v>1364.5</v>
      </c>
      <c r="H107" s="35" t="n">
        <v>1419.1</v>
      </c>
      <c r="I107" s="34" t="n">
        <v>84.2</v>
      </c>
      <c r="J107" s="36" t="n">
        <v>0.834</v>
      </c>
      <c r="K107" s="34" t="n">
        <v>1.24</v>
      </c>
      <c r="L107" s="33" t="s">
        <v>30</v>
      </c>
      <c r="M107" s="33" t="s">
        <v>38</v>
      </c>
    </row>
    <row r="108" customFormat="false" ht="15" hidden="false" customHeight="false" outlineLevel="0" collapsed="false">
      <c r="A108" s="29" t="s">
        <v>46</v>
      </c>
      <c r="B108" s="29" t="s">
        <v>36</v>
      </c>
      <c r="C108" s="29" t="n">
        <v>2023</v>
      </c>
      <c r="D108" s="30" t="n">
        <v>1.9</v>
      </c>
      <c r="E108" s="30" t="n">
        <v>11.65</v>
      </c>
      <c r="F108" s="30" t="n">
        <v>7.38</v>
      </c>
      <c r="G108" s="31" t="n">
        <v>652</v>
      </c>
      <c r="H108" s="31" t="n">
        <v>1323</v>
      </c>
      <c r="I108" s="30" t="n">
        <v>57.7</v>
      </c>
      <c r="J108" s="32" t="n">
        <v>0.488</v>
      </c>
      <c r="K108" s="30" t="n">
        <v>0.78</v>
      </c>
      <c r="L108" s="29" t="s">
        <v>39</v>
      </c>
      <c r="M108" s="29" t="s">
        <v>32</v>
      </c>
    </row>
    <row r="109" customFormat="false" ht="15" hidden="false" customHeight="false" outlineLevel="0" collapsed="false">
      <c r="A109" s="33" t="s">
        <v>46</v>
      </c>
      <c r="B109" s="33" t="s">
        <v>36</v>
      </c>
      <c r="C109" s="33" t="n">
        <v>2024</v>
      </c>
      <c r="D109" s="34" t="n">
        <v>-1.28</v>
      </c>
      <c r="E109" s="34" t="n">
        <v>3.31</v>
      </c>
      <c r="F109" s="34" t="n">
        <v>6.84</v>
      </c>
      <c r="G109" s="35" t="n">
        <v>720.9</v>
      </c>
      <c r="H109" s="35" t="n">
        <v>1224.1</v>
      </c>
      <c r="I109" s="34" t="n">
        <v>88.4</v>
      </c>
      <c r="J109" s="36" t="n">
        <v>0.819</v>
      </c>
      <c r="K109" s="34" t="n">
        <v>1.73</v>
      </c>
      <c r="L109" s="33" t="s">
        <v>30</v>
      </c>
      <c r="M109" s="33" t="s">
        <v>31</v>
      </c>
    </row>
    <row r="110" customFormat="false" ht="15" hidden="false" customHeight="false" outlineLevel="0" collapsed="false">
      <c r="A110" s="29" t="s">
        <v>46</v>
      </c>
      <c r="B110" s="29" t="s">
        <v>37</v>
      </c>
      <c r="C110" s="29" t="n">
        <v>2021</v>
      </c>
      <c r="D110" s="30" t="n">
        <v>6.38</v>
      </c>
      <c r="E110" s="30" t="n">
        <v>10.85</v>
      </c>
      <c r="F110" s="30" t="n">
        <v>18.26</v>
      </c>
      <c r="G110" s="31" t="n">
        <v>823.4</v>
      </c>
      <c r="H110" s="31" t="n">
        <v>1184.1</v>
      </c>
      <c r="I110" s="30" t="n">
        <v>20.5</v>
      </c>
      <c r="J110" s="32" t="n">
        <v>0.597</v>
      </c>
      <c r="K110" s="30" t="n">
        <v>3.35</v>
      </c>
      <c r="L110" s="29" t="s">
        <v>39</v>
      </c>
      <c r="M110" s="29" t="s">
        <v>35</v>
      </c>
    </row>
    <row r="111" customFormat="false" ht="15" hidden="false" customHeight="false" outlineLevel="0" collapsed="false">
      <c r="A111" s="33" t="s">
        <v>46</v>
      </c>
      <c r="B111" s="33" t="s">
        <v>37</v>
      </c>
      <c r="C111" s="33" t="n">
        <v>2022</v>
      </c>
      <c r="D111" s="34" t="n">
        <v>1.77</v>
      </c>
      <c r="E111" s="34" t="n">
        <v>9.96</v>
      </c>
      <c r="F111" s="34" t="n">
        <v>18.07</v>
      </c>
      <c r="G111" s="35" t="n">
        <v>380.5</v>
      </c>
      <c r="H111" s="35" t="n">
        <v>920.3</v>
      </c>
      <c r="I111" s="34" t="n">
        <v>74.9</v>
      </c>
      <c r="J111" s="36" t="n">
        <v>0.738</v>
      </c>
      <c r="K111" s="34" t="n">
        <v>1.09</v>
      </c>
      <c r="L111" s="33" t="s">
        <v>30</v>
      </c>
      <c r="M111" s="33" t="s">
        <v>31</v>
      </c>
    </row>
    <row r="112" customFormat="false" ht="15" hidden="false" customHeight="false" outlineLevel="0" collapsed="false">
      <c r="A112" s="29" t="s">
        <v>46</v>
      </c>
      <c r="B112" s="29" t="s">
        <v>37</v>
      </c>
      <c r="C112" s="29" t="n">
        <v>2023</v>
      </c>
      <c r="D112" s="30" t="n">
        <v>-0.45</v>
      </c>
      <c r="E112" s="30" t="n">
        <v>6.88</v>
      </c>
      <c r="F112" s="30" t="n">
        <v>9.72</v>
      </c>
      <c r="G112" s="31" t="n">
        <v>332.7</v>
      </c>
      <c r="H112" s="31" t="n">
        <v>-226.2</v>
      </c>
      <c r="I112" s="30" t="n">
        <v>65.6</v>
      </c>
      <c r="J112" s="32" t="n">
        <v>0.699</v>
      </c>
      <c r="K112" s="30" t="n">
        <v>0.88</v>
      </c>
      <c r="L112" s="29" t="s">
        <v>30</v>
      </c>
      <c r="M112" s="29" t="s">
        <v>35</v>
      </c>
    </row>
    <row r="113" customFormat="false" ht="15" hidden="false" customHeight="false" outlineLevel="0" collapsed="false">
      <c r="A113" s="33" t="s">
        <v>46</v>
      </c>
      <c r="B113" s="33" t="s">
        <v>37</v>
      </c>
      <c r="C113" s="33" t="n">
        <v>2024</v>
      </c>
      <c r="D113" s="34" t="n">
        <v>1.15</v>
      </c>
      <c r="E113" s="34" t="n">
        <v>5.83</v>
      </c>
      <c r="F113" s="34" t="n">
        <v>7.72</v>
      </c>
      <c r="G113" s="35" t="n">
        <v>891.6</v>
      </c>
      <c r="H113" s="35" t="n">
        <v>-274</v>
      </c>
      <c r="I113" s="34" t="n">
        <v>61.9</v>
      </c>
      <c r="J113" s="36" t="n">
        <v>0.797</v>
      </c>
      <c r="K113" s="34" t="n">
        <v>2.27</v>
      </c>
      <c r="L113" s="33" t="s">
        <v>30</v>
      </c>
      <c r="M113" s="33" t="s">
        <v>35</v>
      </c>
    </row>
    <row r="114" customFormat="false" ht="15" hidden="false" customHeight="false" outlineLevel="0" collapsed="false">
      <c r="A114" s="29" t="s">
        <v>46</v>
      </c>
      <c r="B114" s="29" t="s">
        <v>40</v>
      </c>
      <c r="C114" s="29" t="n">
        <v>2021</v>
      </c>
      <c r="D114" s="30" t="n">
        <v>-1.99</v>
      </c>
      <c r="E114" s="30" t="n">
        <v>11.47</v>
      </c>
      <c r="F114" s="30" t="n">
        <v>6.66</v>
      </c>
      <c r="G114" s="31" t="n">
        <v>1004.8</v>
      </c>
      <c r="H114" s="31" t="n">
        <v>219.7</v>
      </c>
      <c r="I114" s="30" t="n">
        <v>89.7</v>
      </c>
      <c r="J114" s="32" t="n">
        <v>0.81</v>
      </c>
      <c r="K114" s="30" t="n">
        <v>-0.93</v>
      </c>
      <c r="L114" s="29" t="s">
        <v>39</v>
      </c>
      <c r="M114" s="29" t="s">
        <v>35</v>
      </c>
    </row>
    <row r="115" customFormat="false" ht="15" hidden="false" customHeight="false" outlineLevel="0" collapsed="false">
      <c r="A115" s="33" t="s">
        <v>46</v>
      </c>
      <c r="B115" s="33" t="s">
        <v>40</v>
      </c>
      <c r="C115" s="33" t="n">
        <v>2022</v>
      </c>
      <c r="D115" s="34" t="n">
        <v>0.15</v>
      </c>
      <c r="E115" s="34" t="n">
        <v>8.85</v>
      </c>
      <c r="F115" s="34" t="n">
        <v>12.68</v>
      </c>
      <c r="G115" s="35" t="n">
        <v>597.5</v>
      </c>
      <c r="H115" s="35" t="n">
        <v>1426.5</v>
      </c>
      <c r="I115" s="34" t="n">
        <v>81.5</v>
      </c>
      <c r="J115" s="36" t="n">
        <v>0.642</v>
      </c>
      <c r="K115" s="34" t="n">
        <v>0.72</v>
      </c>
      <c r="L115" s="33" t="s">
        <v>30</v>
      </c>
      <c r="M115" s="33" t="s">
        <v>35</v>
      </c>
    </row>
    <row r="116" customFormat="false" ht="15" hidden="false" customHeight="false" outlineLevel="0" collapsed="false">
      <c r="A116" s="29" t="s">
        <v>46</v>
      </c>
      <c r="B116" s="29" t="s">
        <v>40</v>
      </c>
      <c r="C116" s="29" t="n">
        <v>2023</v>
      </c>
      <c r="D116" s="30" t="n">
        <v>6.89</v>
      </c>
      <c r="E116" s="30" t="n">
        <v>6.5</v>
      </c>
      <c r="F116" s="30" t="n">
        <v>3.71</v>
      </c>
      <c r="G116" s="31" t="n">
        <v>476.4</v>
      </c>
      <c r="H116" s="31" t="n">
        <v>180</v>
      </c>
      <c r="I116" s="30" t="n">
        <v>52.7</v>
      </c>
      <c r="J116" s="32" t="n">
        <v>0.767</v>
      </c>
      <c r="K116" s="30" t="n">
        <v>4.73</v>
      </c>
      <c r="L116" s="29" t="s">
        <v>30</v>
      </c>
      <c r="M116" s="29" t="s">
        <v>31</v>
      </c>
    </row>
    <row r="117" customFormat="false" ht="15" hidden="false" customHeight="false" outlineLevel="0" collapsed="false">
      <c r="A117" s="33" t="s">
        <v>46</v>
      </c>
      <c r="B117" s="33" t="s">
        <v>40</v>
      </c>
      <c r="C117" s="33" t="n">
        <v>2024</v>
      </c>
      <c r="D117" s="34" t="n">
        <v>3.54</v>
      </c>
      <c r="E117" s="34" t="n">
        <v>13.48</v>
      </c>
      <c r="F117" s="34" t="n">
        <v>6.32</v>
      </c>
      <c r="G117" s="35" t="n">
        <v>1978.9</v>
      </c>
      <c r="H117" s="35" t="n">
        <v>44.1</v>
      </c>
      <c r="I117" s="34" t="n">
        <v>79.4</v>
      </c>
      <c r="J117" s="36" t="n">
        <v>0.456</v>
      </c>
      <c r="K117" s="34" t="n">
        <v>1.72</v>
      </c>
      <c r="L117" s="33" t="s">
        <v>39</v>
      </c>
      <c r="M117" s="33" t="s">
        <v>31</v>
      </c>
    </row>
    <row r="118" customFormat="false" ht="15" hidden="false" customHeight="false" outlineLevel="0" collapsed="false">
      <c r="A118" s="29" t="s">
        <v>46</v>
      </c>
      <c r="B118" s="29" t="s">
        <v>41</v>
      </c>
      <c r="C118" s="29" t="n">
        <v>2021</v>
      </c>
      <c r="D118" s="30" t="n">
        <v>-0.3</v>
      </c>
      <c r="E118" s="30" t="n">
        <v>5.98</v>
      </c>
      <c r="F118" s="30" t="n">
        <v>5.34</v>
      </c>
      <c r="G118" s="31" t="n">
        <v>184.3</v>
      </c>
      <c r="H118" s="31" t="n">
        <v>-462</v>
      </c>
      <c r="I118" s="30" t="n">
        <v>80.2</v>
      </c>
      <c r="J118" s="32" t="n">
        <v>0.566</v>
      </c>
      <c r="K118" s="30" t="n">
        <v>1.15</v>
      </c>
      <c r="L118" s="29" t="s">
        <v>30</v>
      </c>
      <c r="M118" s="29" t="s">
        <v>38</v>
      </c>
    </row>
    <row r="119" customFormat="false" ht="15" hidden="false" customHeight="false" outlineLevel="0" collapsed="false">
      <c r="A119" s="33" t="s">
        <v>46</v>
      </c>
      <c r="B119" s="33" t="s">
        <v>41</v>
      </c>
      <c r="C119" s="33" t="n">
        <v>2022</v>
      </c>
      <c r="D119" s="34" t="n">
        <v>5.79</v>
      </c>
      <c r="E119" s="34" t="n">
        <v>4.79</v>
      </c>
      <c r="F119" s="34" t="n">
        <v>10.32</v>
      </c>
      <c r="G119" s="35" t="n">
        <v>141.5</v>
      </c>
      <c r="H119" s="35" t="n">
        <v>-140.6</v>
      </c>
      <c r="I119" s="34" t="n">
        <v>33.7</v>
      </c>
      <c r="J119" s="36" t="n">
        <v>0.649</v>
      </c>
      <c r="K119" s="34" t="n">
        <v>4.53</v>
      </c>
      <c r="L119" s="33" t="s">
        <v>30</v>
      </c>
      <c r="M119" s="33" t="s">
        <v>31</v>
      </c>
    </row>
    <row r="120" customFormat="false" ht="15" hidden="false" customHeight="false" outlineLevel="0" collapsed="false">
      <c r="A120" s="29" t="s">
        <v>46</v>
      </c>
      <c r="B120" s="29" t="s">
        <v>41</v>
      </c>
      <c r="C120" s="29" t="n">
        <v>2023</v>
      </c>
      <c r="D120" s="30" t="n">
        <v>1.54</v>
      </c>
      <c r="E120" s="30" t="n">
        <v>13.02</v>
      </c>
      <c r="F120" s="30" t="n">
        <v>15.53</v>
      </c>
      <c r="G120" s="31" t="n">
        <v>649.2</v>
      </c>
      <c r="H120" s="31" t="n">
        <v>-414.6</v>
      </c>
      <c r="I120" s="30" t="n">
        <v>35.1</v>
      </c>
      <c r="J120" s="32" t="n">
        <v>0.536</v>
      </c>
      <c r="K120" s="30" t="n">
        <v>0.19</v>
      </c>
      <c r="L120" s="29" t="s">
        <v>39</v>
      </c>
      <c r="M120" s="29" t="s">
        <v>38</v>
      </c>
    </row>
    <row r="121" customFormat="false" ht="15" hidden="false" customHeight="false" outlineLevel="0" collapsed="false">
      <c r="A121" s="33" t="s">
        <v>46</v>
      </c>
      <c r="B121" s="33" t="s">
        <v>41</v>
      </c>
      <c r="C121" s="33" t="n">
        <v>2024</v>
      </c>
      <c r="D121" s="34" t="n">
        <v>5.49</v>
      </c>
      <c r="E121" s="34" t="n">
        <v>5.77</v>
      </c>
      <c r="F121" s="34" t="n">
        <v>11.88</v>
      </c>
      <c r="G121" s="35" t="n">
        <v>576.3</v>
      </c>
      <c r="H121" s="35" t="n">
        <v>607.2</v>
      </c>
      <c r="I121" s="34" t="n">
        <v>72.2</v>
      </c>
      <c r="J121" s="36" t="n">
        <v>0.503</v>
      </c>
      <c r="K121" s="34" t="n">
        <v>4.3</v>
      </c>
      <c r="L121" s="33" t="s">
        <v>30</v>
      </c>
      <c r="M121" s="33" t="s">
        <v>35</v>
      </c>
    </row>
    <row r="122" customFormat="false" ht="15" hidden="false" customHeight="false" outlineLevel="0" collapsed="false">
      <c r="A122" s="29" t="s">
        <v>46</v>
      </c>
      <c r="B122" s="29" t="s">
        <v>42</v>
      </c>
      <c r="C122" s="29" t="n">
        <v>2021</v>
      </c>
      <c r="D122" s="30" t="n">
        <v>2.8</v>
      </c>
      <c r="E122" s="30" t="n">
        <v>3.91</v>
      </c>
      <c r="F122" s="30" t="n">
        <v>17.31</v>
      </c>
      <c r="G122" s="31" t="n">
        <v>443.4</v>
      </c>
      <c r="H122" s="31" t="n">
        <v>-157.5</v>
      </c>
      <c r="I122" s="30" t="n">
        <v>49.8</v>
      </c>
      <c r="J122" s="32" t="n">
        <v>0.483</v>
      </c>
      <c r="K122" s="30" t="n">
        <v>3.45</v>
      </c>
      <c r="L122" s="29" t="s">
        <v>30</v>
      </c>
      <c r="M122" s="29" t="s">
        <v>38</v>
      </c>
    </row>
    <row r="123" customFormat="false" ht="15" hidden="false" customHeight="false" outlineLevel="0" collapsed="false">
      <c r="A123" s="33" t="s">
        <v>46</v>
      </c>
      <c r="B123" s="33" t="s">
        <v>42</v>
      </c>
      <c r="C123" s="33" t="n">
        <v>2022</v>
      </c>
      <c r="D123" s="34" t="n">
        <v>-1.2</v>
      </c>
      <c r="E123" s="34" t="n">
        <v>5.87</v>
      </c>
      <c r="F123" s="34" t="n">
        <v>18.83</v>
      </c>
      <c r="G123" s="35" t="n">
        <v>1547.4</v>
      </c>
      <c r="H123" s="35" t="n">
        <v>571.5</v>
      </c>
      <c r="I123" s="34" t="n">
        <v>67.4</v>
      </c>
      <c r="J123" s="36" t="n">
        <v>0.639</v>
      </c>
      <c r="K123" s="34" t="n">
        <v>1.41</v>
      </c>
      <c r="L123" s="33" t="s">
        <v>30</v>
      </c>
      <c r="M123" s="33" t="s">
        <v>32</v>
      </c>
    </row>
    <row r="124" customFormat="false" ht="15" hidden="false" customHeight="false" outlineLevel="0" collapsed="false">
      <c r="A124" s="29" t="s">
        <v>46</v>
      </c>
      <c r="B124" s="29" t="s">
        <v>42</v>
      </c>
      <c r="C124" s="29" t="n">
        <v>2023</v>
      </c>
      <c r="D124" s="30" t="n">
        <v>4.19</v>
      </c>
      <c r="E124" s="30" t="n">
        <v>13.91</v>
      </c>
      <c r="F124" s="30" t="n">
        <v>21.46</v>
      </c>
      <c r="G124" s="31" t="n">
        <v>1062.1</v>
      </c>
      <c r="H124" s="31" t="n">
        <v>-240.2</v>
      </c>
      <c r="I124" s="30" t="n">
        <v>73.9</v>
      </c>
      <c r="J124" s="32" t="n">
        <v>0.869</v>
      </c>
      <c r="K124" s="30" t="n">
        <v>1.45</v>
      </c>
      <c r="L124" s="29" t="s">
        <v>39</v>
      </c>
      <c r="M124" s="29" t="s">
        <v>38</v>
      </c>
    </row>
    <row r="125" customFormat="false" ht="15" hidden="false" customHeight="false" outlineLevel="0" collapsed="false">
      <c r="A125" s="33" t="s">
        <v>46</v>
      </c>
      <c r="B125" s="33" t="s">
        <v>42</v>
      </c>
      <c r="C125" s="33" t="n">
        <v>2024</v>
      </c>
      <c r="D125" s="34" t="n">
        <v>7.34</v>
      </c>
      <c r="E125" s="34" t="n">
        <v>14.03</v>
      </c>
      <c r="F125" s="34" t="n">
        <v>17.26</v>
      </c>
      <c r="G125" s="35" t="n">
        <v>1596.2</v>
      </c>
      <c r="H125" s="35" t="n">
        <v>715.8</v>
      </c>
      <c r="I125" s="34" t="n">
        <v>27.6</v>
      </c>
      <c r="J125" s="36" t="n">
        <v>0.508</v>
      </c>
      <c r="K125" s="34" t="n">
        <v>3.26</v>
      </c>
      <c r="L125" s="33" t="s">
        <v>39</v>
      </c>
      <c r="M125" s="33" t="s">
        <v>31</v>
      </c>
    </row>
    <row r="126" customFormat="false" ht="15" hidden="false" customHeight="false" outlineLevel="0" collapsed="false">
      <c r="A126" s="29" t="s">
        <v>46</v>
      </c>
      <c r="B126" s="29" t="s">
        <v>43</v>
      </c>
      <c r="C126" s="29" t="n">
        <v>2021</v>
      </c>
      <c r="D126" s="30" t="n">
        <v>-0.29</v>
      </c>
      <c r="E126" s="30" t="n">
        <v>5.77</v>
      </c>
      <c r="F126" s="30" t="n">
        <v>19.62</v>
      </c>
      <c r="G126" s="31" t="n">
        <v>294.4</v>
      </c>
      <c r="H126" s="31" t="n">
        <v>671.1</v>
      </c>
      <c r="I126" s="30" t="n">
        <v>73.2</v>
      </c>
      <c r="J126" s="32" t="n">
        <v>0.575</v>
      </c>
      <c r="K126" s="30" t="n">
        <v>1.27</v>
      </c>
      <c r="L126" s="29" t="s">
        <v>30</v>
      </c>
      <c r="M126" s="29" t="s">
        <v>31</v>
      </c>
    </row>
    <row r="127" customFormat="false" ht="15" hidden="false" customHeight="false" outlineLevel="0" collapsed="false">
      <c r="A127" s="33" t="s">
        <v>46</v>
      </c>
      <c r="B127" s="33" t="s">
        <v>43</v>
      </c>
      <c r="C127" s="33" t="n">
        <v>2022</v>
      </c>
      <c r="D127" s="34" t="n">
        <v>0.82</v>
      </c>
      <c r="E127" s="34" t="n">
        <v>4.97</v>
      </c>
      <c r="F127" s="34" t="n">
        <v>9.86</v>
      </c>
      <c r="G127" s="35" t="n">
        <v>1815.3</v>
      </c>
      <c r="H127" s="35" t="n">
        <v>-395.5</v>
      </c>
      <c r="I127" s="34" t="n">
        <v>62</v>
      </c>
      <c r="J127" s="36" t="n">
        <v>0.774</v>
      </c>
      <c r="K127" s="34" t="n">
        <v>2.83</v>
      </c>
      <c r="L127" s="33" t="s">
        <v>30</v>
      </c>
      <c r="M127" s="33" t="s">
        <v>38</v>
      </c>
    </row>
    <row r="128" customFormat="false" ht="15" hidden="false" customHeight="false" outlineLevel="0" collapsed="false">
      <c r="A128" s="29" t="s">
        <v>46</v>
      </c>
      <c r="B128" s="29" t="s">
        <v>43</v>
      </c>
      <c r="C128" s="29" t="n">
        <v>2023</v>
      </c>
      <c r="D128" s="30" t="n">
        <v>1.61</v>
      </c>
      <c r="E128" s="30" t="n">
        <v>17.19</v>
      </c>
      <c r="F128" s="30" t="n">
        <v>14.97</v>
      </c>
      <c r="G128" s="31" t="n">
        <v>990.6</v>
      </c>
      <c r="H128" s="31" t="n">
        <v>637.6</v>
      </c>
      <c r="I128" s="30" t="n">
        <v>52.4</v>
      </c>
      <c r="J128" s="32" t="n">
        <v>0.522</v>
      </c>
      <c r="K128" s="30" t="n">
        <v>-0.86</v>
      </c>
      <c r="L128" s="29" t="s">
        <v>34</v>
      </c>
      <c r="M128" s="29" t="s">
        <v>38</v>
      </c>
    </row>
    <row r="129" customFormat="false" ht="15" hidden="false" customHeight="false" outlineLevel="0" collapsed="false">
      <c r="A129" s="33" t="s">
        <v>46</v>
      </c>
      <c r="B129" s="33" t="s">
        <v>43</v>
      </c>
      <c r="C129" s="33" t="n">
        <v>2024</v>
      </c>
      <c r="D129" s="34" t="n">
        <v>4.73</v>
      </c>
      <c r="E129" s="34" t="n">
        <v>5.36</v>
      </c>
      <c r="F129" s="34" t="n">
        <v>8.29</v>
      </c>
      <c r="G129" s="35" t="n">
        <v>482.9</v>
      </c>
      <c r="H129" s="35" t="n">
        <v>514.3</v>
      </c>
      <c r="I129" s="34" t="n">
        <v>27.1</v>
      </c>
      <c r="J129" s="36" t="n">
        <v>0.797</v>
      </c>
      <c r="K129" s="34" t="n">
        <v>4</v>
      </c>
      <c r="L129" s="33" t="s">
        <v>30</v>
      </c>
      <c r="M129" s="33" t="s">
        <v>35</v>
      </c>
    </row>
    <row r="130" customFormat="false" ht="15" hidden="false" customHeight="false" outlineLevel="0" collapsed="false">
      <c r="A130" s="29" t="s">
        <v>47</v>
      </c>
      <c r="B130" s="29" t="s">
        <v>29</v>
      </c>
      <c r="C130" s="29" t="n">
        <v>2021</v>
      </c>
      <c r="D130" s="30" t="n">
        <v>2.76</v>
      </c>
      <c r="E130" s="30" t="n">
        <v>12.37</v>
      </c>
      <c r="F130" s="30" t="n">
        <v>11.73</v>
      </c>
      <c r="G130" s="31" t="n">
        <v>1733.5</v>
      </c>
      <c r="H130" s="31" t="n">
        <v>-154</v>
      </c>
      <c r="I130" s="30" t="n">
        <v>84.8</v>
      </c>
      <c r="J130" s="32" t="n">
        <v>0.581</v>
      </c>
      <c r="K130" s="30" t="n">
        <v>1.54</v>
      </c>
      <c r="L130" s="29" t="s">
        <v>39</v>
      </c>
      <c r="M130" s="29" t="s">
        <v>31</v>
      </c>
    </row>
    <row r="131" customFormat="false" ht="15" hidden="false" customHeight="false" outlineLevel="0" collapsed="false">
      <c r="A131" s="33" t="s">
        <v>47</v>
      </c>
      <c r="B131" s="33" t="s">
        <v>29</v>
      </c>
      <c r="C131" s="33" t="n">
        <v>2022</v>
      </c>
      <c r="D131" s="34" t="n">
        <v>3.22</v>
      </c>
      <c r="E131" s="34" t="n">
        <v>6.49</v>
      </c>
      <c r="F131" s="34" t="n">
        <v>19.15</v>
      </c>
      <c r="G131" s="35" t="n">
        <v>77.8</v>
      </c>
      <c r="H131" s="35" t="n">
        <v>1373.3</v>
      </c>
      <c r="I131" s="34" t="n">
        <v>72.7</v>
      </c>
      <c r="J131" s="36" t="n">
        <v>0.717</v>
      </c>
      <c r="K131" s="34" t="n">
        <v>2.7</v>
      </c>
      <c r="L131" s="33" t="s">
        <v>30</v>
      </c>
      <c r="M131" s="33" t="s">
        <v>38</v>
      </c>
    </row>
    <row r="132" customFormat="false" ht="15" hidden="false" customHeight="false" outlineLevel="0" collapsed="false">
      <c r="A132" s="29" t="s">
        <v>47</v>
      </c>
      <c r="B132" s="29" t="s">
        <v>29</v>
      </c>
      <c r="C132" s="29" t="n">
        <v>2023</v>
      </c>
      <c r="D132" s="30" t="n">
        <v>3.61</v>
      </c>
      <c r="E132" s="30" t="n">
        <v>4.22</v>
      </c>
      <c r="F132" s="30" t="n">
        <v>17.46</v>
      </c>
      <c r="G132" s="31" t="n">
        <v>1699.6</v>
      </c>
      <c r="H132" s="31" t="n">
        <v>711.4</v>
      </c>
      <c r="I132" s="30" t="n">
        <v>57.6</v>
      </c>
      <c r="J132" s="32" t="n">
        <v>0.534</v>
      </c>
      <c r="K132" s="30" t="n">
        <v>4.39</v>
      </c>
      <c r="L132" s="29" t="s">
        <v>30</v>
      </c>
      <c r="M132" s="29" t="s">
        <v>31</v>
      </c>
    </row>
    <row r="133" customFormat="false" ht="15" hidden="false" customHeight="false" outlineLevel="0" collapsed="false">
      <c r="A133" s="33" t="s">
        <v>47</v>
      </c>
      <c r="B133" s="33" t="s">
        <v>29</v>
      </c>
      <c r="C133" s="33" t="n">
        <v>2024</v>
      </c>
      <c r="D133" s="34" t="n">
        <v>5.94</v>
      </c>
      <c r="E133" s="34" t="n">
        <v>3.65</v>
      </c>
      <c r="F133" s="34" t="n">
        <v>4.99</v>
      </c>
      <c r="G133" s="35" t="n">
        <v>1765.5</v>
      </c>
      <c r="H133" s="35" t="n">
        <v>110</v>
      </c>
      <c r="I133" s="34" t="n">
        <v>55.4</v>
      </c>
      <c r="J133" s="36" t="n">
        <v>0.845</v>
      </c>
      <c r="K133" s="34" t="n">
        <v>5.76</v>
      </c>
      <c r="L133" s="33" t="s">
        <v>30</v>
      </c>
      <c r="M133" s="33" t="s">
        <v>32</v>
      </c>
    </row>
    <row r="134" customFormat="false" ht="15" hidden="false" customHeight="false" outlineLevel="0" collapsed="false">
      <c r="A134" s="29" t="s">
        <v>47</v>
      </c>
      <c r="B134" s="29" t="s">
        <v>33</v>
      </c>
      <c r="C134" s="29" t="n">
        <v>2021</v>
      </c>
      <c r="D134" s="30" t="n">
        <v>7.95</v>
      </c>
      <c r="E134" s="30" t="n">
        <v>11.8</v>
      </c>
      <c r="F134" s="30" t="n">
        <v>11.65</v>
      </c>
      <c r="G134" s="31" t="n">
        <v>1728.9</v>
      </c>
      <c r="H134" s="31" t="n">
        <v>693.1</v>
      </c>
      <c r="I134" s="30" t="n">
        <v>37.1</v>
      </c>
      <c r="J134" s="32" t="n">
        <v>0.589</v>
      </c>
      <c r="K134" s="30" t="n">
        <v>4.3</v>
      </c>
      <c r="L134" s="29" t="s">
        <v>39</v>
      </c>
      <c r="M134" s="29" t="s">
        <v>31</v>
      </c>
    </row>
    <row r="135" customFormat="false" ht="15" hidden="false" customHeight="false" outlineLevel="0" collapsed="false">
      <c r="A135" s="33" t="s">
        <v>47</v>
      </c>
      <c r="B135" s="33" t="s">
        <v>33</v>
      </c>
      <c r="C135" s="33" t="n">
        <v>2022</v>
      </c>
      <c r="D135" s="34" t="n">
        <v>4.43</v>
      </c>
      <c r="E135" s="34" t="n">
        <v>3.91</v>
      </c>
      <c r="F135" s="34" t="n">
        <v>6.06</v>
      </c>
      <c r="G135" s="35" t="n">
        <v>525.9</v>
      </c>
      <c r="H135" s="35" t="n">
        <v>68.9</v>
      </c>
      <c r="I135" s="34" t="n">
        <v>59.4</v>
      </c>
      <c r="J135" s="36" t="n">
        <v>0.793</v>
      </c>
      <c r="K135" s="34" t="n">
        <v>4.3</v>
      </c>
      <c r="L135" s="33" t="s">
        <v>30</v>
      </c>
      <c r="M135" s="33" t="s">
        <v>32</v>
      </c>
    </row>
    <row r="136" customFormat="false" ht="15" hidden="false" customHeight="false" outlineLevel="0" collapsed="false">
      <c r="A136" s="29" t="s">
        <v>47</v>
      </c>
      <c r="B136" s="29" t="s">
        <v>33</v>
      </c>
      <c r="C136" s="29" t="n">
        <v>2023</v>
      </c>
      <c r="D136" s="30" t="n">
        <v>5.9</v>
      </c>
      <c r="E136" s="30" t="n">
        <v>6.94</v>
      </c>
      <c r="F136" s="30" t="n">
        <v>10.27</v>
      </c>
      <c r="G136" s="31" t="n">
        <v>1354.7</v>
      </c>
      <c r="H136" s="31" t="n">
        <v>1177.7</v>
      </c>
      <c r="I136" s="30" t="n">
        <v>84</v>
      </c>
      <c r="J136" s="32" t="n">
        <v>0.76</v>
      </c>
      <c r="K136" s="30" t="n">
        <v>4.55</v>
      </c>
      <c r="L136" s="29" t="s">
        <v>30</v>
      </c>
      <c r="M136" s="29" t="s">
        <v>35</v>
      </c>
    </row>
    <row r="137" customFormat="false" ht="15" hidden="false" customHeight="false" outlineLevel="0" collapsed="false">
      <c r="A137" s="33" t="s">
        <v>47</v>
      </c>
      <c r="B137" s="33" t="s">
        <v>33</v>
      </c>
      <c r="C137" s="33" t="n">
        <v>2024</v>
      </c>
      <c r="D137" s="34" t="n">
        <v>0.06</v>
      </c>
      <c r="E137" s="34" t="n">
        <v>3.39</v>
      </c>
      <c r="F137" s="34" t="n">
        <v>10.25</v>
      </c>
      <c r="G137" s="35" t="n">
        <v>1089.1</v>
      </c>
      <c r="H137" s="35" t="n">
        <v>878.6</v>
      </c>
      <c r="I137" s="34" t="n">
        <v>30.3</v>
      </c>
      <c r="J137" s="36" t="n">
        <v>0.695</v>
      </c>
      <c r="K137" s="34" t="n">
        <v>2.56</v>
      </c>
      <c r="L137" s="33" t="s">
        <v>30</v>
      </c>
      <c r="M137" s="33" t="s">
        <v>38</v>
      </c>
    </row>
    <row r="138" customFormat="false" ht="15" hidden="false" customHeight="false" outlineLevel="0" collapsed="false">
      <c r="A138" s="29" t="s">
        <v>47</v>
      </c>
      <c r="B138" s="29" t="s">
        <v>36</v>
      </c>
      <c r="C138" s="29" t="n">
        <v>2021</v>
      </c>
      <c r="D138" s="30" t="n">
        <v>6.1</v>
      </c>
      <c r="E138" s="30" t="n">
        <v>3.33</v>
      </c>
      <c r="F138" s="30" t="n">
        <v>4.3</v>
      </c>
      <c r="G138" s="31" t="n">
        <v>696.3</v>
      </c>
      <c r="H138" s="31" t="n">
        <v>476.4</v>
      </c>
      <c r="I138" s="30" t="n">
        <v>36.2</v>
      </c>
      <c r="J138" s="32" t="n">
        <v>0.667</v>
      </c>
      <c r="K138" s="30" t="n">
        <v>5.4</v>
      </c>
      <c r="L138" s="29" t="s">
        <v>30</v>
      </c>
      <c r="M138" s="29" t="s">
        <v>31</v>
      </c>
    </row>
    <row r="139" customFormat="false" ht="15" hidden="false" customHeight="false" outlineLevel="0" collapsed="false">
      <c r="A139" s="33" t="s">
        <v>47</v>
      </c>
      <c r="B139" s="33" t="s">
        <v>36</v>
      </c>
      <c r="C139" s="33" t="n">
        <v>2022</v>
      </c>
      <c r="D139" s="34" t="n">
        <v>-1.31</v>
      </c>
      <c r="E139" s="34" t="n">
        <v>5.95</v>
      </c>
      <c r="F139" s="34" t="n">
        <v>8.55</v>
      </c>
      <c r="G139" s="35" t="n">
        <v>438.5</v>
      </c>
      <c r="H139" s="35" t="n">
        <v>620.2</v>
      </c>
      <c r="I139" s="34" t="n">
        <v>71.2</v>
      </c>
      <c r="J139" s="36" t="n">
        <v>0.702</v>
      </c>
      <c r="K139" s="34" t="n">
        <v>0.78</v>
      </c>
      <c r="L139" s="33" t="s">
        <v>30</v>
      </c>
      <c r="M139" s="33" t="s">
        <v>38</v>
      </c>
    </row>
    <row r="140" customFormat="false" ht="15" hidden="false" customHeight="false" outlineLevel="0" collapsed="false">
      <c r="A140" s="29" t="s">
        <v>47</v>
      </c>
      <c r="B140" s="29" t="s">
        <v>36</v>
      </c>
      <c r="C140" s="29" t="n">
        <v>2023</v>
      </c>
      <c r="D140" s="30" t="n">
        <v>5.32</v>
      </c>
      <c r="E140" s="30" t="n">
        <v>9.18</v>
      </c>
      <c r="F140" s="30" t="n">
        <v>17.12</v>
      </c>
      <c r="G140" s="31" t="n">
        <v>326.4</v>
      </c>
      <c r="H140" s="31" t="n">
        <v>428.3</v>
      </c>
      <c r="I140" s="30" t="n">
        <v>37.7</v>
      </c>
      <c r="J140" s="32" t="n">
        <v>0.611</v>
      </c>
      <c r="K140" s="30" t="n">
        <v>3.07</v>
      </c>
      <c r="L140" s="29" t="s">
        <v>30</v>
      </c>
      <c r="M140" s="29" t="s">
        <v>32</v>
      </c>
    </row>
    <row r="141" customFormat="false" ht="15" hidden="false" customHeight="false" outlineLevel="0" collapsed="false">
      <c r="A141" s="33" t="s">
        <v>47</v>
      </c>
      <c r="B141" s="33" t="s">
        <v>36</v>
      </c>
      <c r="C141" s="33" t="n">
        <v>2024</v>
      </c>
      <c r="D141" s="34" t="n">
        <v>1.51</v>
      </c>
      <c r="E141" s="34" t="n">
        <v>11.93</v>
      </c>
      <c r="F141" s="34" t="n">
        <v>3.88</v>
      </c>
      <c r="G141" s="35" t="n">
        <v>1007</v>
      </c>
      <c r="H141" s="35" t="n">
        <v>855.9</v>
      </c>
      <c r="I141" s="34" t="n">
        <v>21.5</v>
      </c>
      <c r="J141" s="36" t="n">
        <v>0.742</v>
      </c>
      <c r="K141" s="34" t="n">
        <v>0.68</v>
      </c>
      <c r="L141" s="33" t="s">
        <v>39</v>
      </c>
      <c r="M141" s="33" t="s">
        <v>32</v>
      </c>
    </row>
    <row r="142" customFormat="false" ht="15" hidden="false" customHeight="false" outlineLevel="0" collapsed="false">
      <c r="A142" s="29" t="s">
        <v>47</v>
      </c>
      <c r="B142" s="29" t="s">
        <v>37</v>
      </c>
      <c r="C142" s="29" t="n">
        <v>2021</v>
      </c>
      <c r="D142" s="30" t="n">
        <v>3.31</v>
      </c>
      <c r="E142" s="30" t="n">
        <v>12.79</v>
      </c>
      <c r="F142" s="30" t="n">
        <v>20.78</v>
      </c>
      <c r="G142" s="31" t="n">
        <v>911.2</v>
      </c>
      <c r="H142" s="31" t="n">
        <v>1226.8</v>
      </c>
      <c r="I142" s="30" t="n">
        <v>48.7</v>
      </c>
      <c r="J142" s="32" t="n">
        <v>0.458</v>
      </c>
      <c r="K142" s="30" t="n">
        <v>1.27</v>
      </c>
      <c r="L142" s="29" t="s">
        <v>39</v>
      </c>
      <c r="M142" s="29" t="s">
        <v>35</v>
      </c>
    </row>
    <row r="143" customFormat="false" ht="15" hidden="false" customHeight="false" outlineLevel="0" collapsed="false">
      <c r="A143" s="33" t="s">
        <v>47</v>
      </c>
      <c r="B143" s="33" t="s">
        <v>37</v>
      </c>
      <c r="C143" s="33" t="n">
        <v>2022</v>
      </c>
      <c r="D143" s="34" t="n">
        <v>-1.24</v>
      </c>
      <c r="E143" s="34" t="n">
        <v>10.52</v>
      </c>
      <c r="F143" s="34" t="n">
        <v>10.38</v>
      </c>
      <c r="G143" s="35" t="n">
        <v>323.9</v>
      </c>
      <c r="H143" s="35" t="n">
        <v>-51.3</v>
      </c>
      <c r="I143" s="34" t="n">
        <v>46.8</v>
      </c>
      <c r="J143" s="36" t="n">
        <v>0.811</v>
      </c>
      <c r="K143" s="34" t="n">
        <v>-0.61</v>
      </c>
      <c r="L143" s="33" t="s">
        <v>39</v>
      </c>
      <c r="M143" s="33" t="s">
        <v>38</v>
      </c>
    </row>
    <row r="144" customFormat="false" ht="15" hidden="false" customHeight="false" outlineLevel="0" collapsed="false">
      <c r="A144" s="29" t="s">
        <v>47</v>
      </c>
      <c r="B144" s="29" t="s">
        <v>37</v>
      </c>
      <c r="C144" s="29" t="n">
        <v>2023</v>
      </c>
      <c r="D144" s="30" t="n">
        <v>4.97</v>
      </c>
      <c r="E144" s="30" t="n">
        <v>11.36</v>
      </c>
      <c r="F144" s="30" t="n">
        <v>13.88</v>
      </c>
      <c r="G144" s="31" t="n">
        <v>984.5</v>
      </c>
      <c r="H144" s="31" t="n">
        <v>1009.2</v>
      </c>
      <c r="I144" s="30" t="n">
        <v>48.9</v>
      </c>
      <c r="J144" s="32" t="n">
        <v>0.624</v>
      </c>
      <c r="K144" s="30" t="n">
        <v>2.57</v>
      </c>
      <c r="L144" s="29" t="s">
        <v>39</v>
      </c>
      <c r="M144" s="29" t="s">
        <v>35</v>
      </c>
    </row>
    <row r="145" customFormat="false" ht="15" hidden="false" customHeight="false" outlineLevel="0" collapsed="false">
      <c r="A145" s="33" t="s">
        <v>47</v>
      </c>
      <c r="B145" s="33" t="s">
        <v>37</v>
      </c>
      <c r="C145" s="33" t="n">
        <v>2024</v>
      </c>
      <c r="D145" s="34" t="n">
        <v>-1.9</v>
      </c>
      <c r="E145" s="34" t="n">
        <v>7.04</v>
      </c>
      <c r="F145" s="34" t="n">
        <v>9.1</v>
      </c>
      <c r="G145" s="35" t="n">
        <v>575.7</v>
      </c>
      <c r="H145" s="35" t="n">
        <v>-255.8</v>
      </c>
      <c r="I145" s="34" t="n">
        <v>53.1</v>
      </c>
      <c r="J145" s="36" t="n">
        <v>0.648</v>
      </c>
      <c r="K145" s="34" t="n">
        <v>0.23</v>
      </c>
      <c r="L145" s="33" t="s">
        <v>30</v>
      </c>
      <c r="M145" s="33" t="s">
        <v>32</v>
      </c>
    </row>
    <row r="146" customFormat="false" ht="15" hidden="false" customHeight="false" outlineLevel="0" collapsed="false">
      <c r="A146" s="29" t="s">
        <v>47</v>
      </c>
      <c r="B146" s="29" t="s">
        <v>40</v>
      </c>
      <c r="C146" s="29" t="n">
        <v>2021</v>
      </c>
      <c r="D146" s="30" t="n">
        <v>7.25</v>
      </c>
      <c r="E146" s="30" t="n">
        <v>12.82</v>
      </c>
      <c r="F146" s="30" t="n">
        <v>5.99</v>
      </c>
      <c r="G146" s="31" t="n">
        <v>1999.3</v>
      </c>
      <c r="H146" s="31" t="n">
        <v>-352.5</v>
      </c>
      <c r="I146" s="30" t="n">
        <v>89.2</v>
      </c>
      <c r="J146" s="32" t="n">
        <v>0.7</v>
      </c>
      <c r="K146" s="30" t="n">
        <v>3.78</v>
      </c>
      <c r="L146" s="29" t="s">
        <v>39</v>
      </c>
      <c r="M146" s="29" t="s">
        <v>31</v>
      </c>
    </row>
    <row r="147" customFormat="false" ht="15" hidden="false" customHeight="false" outlineLevel="0" collapsed="false">
      <c r="A147" s="33" t="s">
        <v>47</v>
      </c>
      <c r="B147" s="33" t="s">
        <v>40</v>
      </c>
      <c r="C147" s="33" t="n">
        <v>2022</v>
      </c>
      <c r="D147" s="34" t="n">
        <v>3.23</v>
      </c>
      <c r="E147" s="34" t="n">
        <v>16.51</v>
      </c>
      <c r="F147" s="34" t="n">
        <v>9.03</v>
      </c>
      <c r="G147" s="35" t="n">
        <v>1649.4</v>
      </c>
      <c r="H147" s="35" t="n">
        <v>426.4</v>
      </c>
      <c r="I147" s="34" t="n">
        <v>79.7</v>
      </c>
      <c r="J147" s="36" t="n">
        <v>0.767</v>
      </c>
      <c r="K147" s="34" t="n">
        <v>0.49</v>
      </c>
      <c r="L147" s="33" t="s">
        <v>34</v>
      </c>
      <c r="M147" s="33" t="s">
        <v>32</v>
      </c>
    </row>
    <row r="148" customFormat="false" ht="15" hidden="false" customHeight="false" outlineLevel="0" collapsed="false">
      <c r="A148" s="29" t="s">
        <v>47</v>
      </c>
      <c r="B148" s="29" t="s">
        <v>40</v>
      </c>
      <c r="C148" s="29" t="n">
        <v>2023</v>
      </c>
      <c r="D148" s="30" t="n">
        <v>-0.14</v>
      </c>
      <c r="E148" s="30" t="n">
        <v>15.78</v>
      </c>
      <c r="F148" s="30" t="n">
        <v>20.49</v>
      </c>
      <c r="G148" s="31" t="n">
        <v>784.4</v>
      </c>
      <c r="H148" s="31" t="n">
        <v>-427</v>
      </c>
      <c r="I148" s="30" t="n">
        <v>67</v>
      </c>
      <c r="J148" s="32" t="n">
        <v>0.696</v>
      </c>
      <c r="K148" s="30" t="n">
        <v>-1.41</v>
      </c>
      <c r="L148" s="29" t="s">
        <v>34</v>
      </c>
      <c r="M148" s="29" t="s">
        <v>32</v>
      </c>
    </row>
    <row r="149" customFormat="false" ht="15" hidden="false" customHeight="false" outlineLevel="0" collapsed="false">
      <c r="A149" s="33" t="s">
        <v>47</v>
      </c>
      <c r="B149" s="33" t="s">
        <v>40</v>
      </c>
      <c r="C149" s="33" t="n">
        <v>2024</v>
      </c>
      <c r="D149" s="34" t="n">
        <v>-1.66</v>
      </c>
      <c r="E149" s="34" t="n">
        <v>11.57</v>
      </c>
      <c r="F149" s="34" t="n">
        <v>4.66</v>
      </c>
      <c r="G149" s="35" t="n">
        <v>1083.7</v>
      </c>
      <c r="H149" s="35" t="n">
        <v>-66.8</v>
      </c>
      <c r="I149" s="34" t="n">
        <v>70.1</v>
      </c>
      <c r="J149" s="36" t="n">
        <v>0.654</v>
      </c>
      <c r="K149" s="34" t="n">
        <v>-0.76</v>
      </c>
      <c r="L149" s="33" t="s">
        <v>39</v>
      </c>
      <c r="M149" s="33" t="s">
        <v>31</v>
      </c>
    </row>
    <row r="150" customFormat="false" ht="15" hidden="false" customHeight="false" outlineLevel="0" collapsed="false">
      <c r="A150" s="29" t="s">
        <v>47</v>
      </c>
      <c r="B150" s="29" t="s">
        <v>41</v>
      </c>
      <c r="C150" s="29" t="n">
        <v>2021</v>
      </c>
      <c r="D150" s="30" t="n">
        <v>2.73</v>
      </c>
      <c r="E150" s="30" t="n">
        <v>3.76</v>
      </c>
      <c r="F150" s="30" t="n">
        <v>21.98</v>
      </c>
      <c r="G150" s="31" t="n">
        <v>1220.6</v>
      </c>
      <c r="H150" s="31" t="n">
        <v>972.9</v>
      </c>
      <c r="I150" s="30" t="n">
        <v>63.7</v>
      </c>
      <c r="J150" s="32" t="n">
        <v>0.513</v>
      </c>
      <c r="K150" s="30" t="n">
        <v>3.85</v>
      </c>
      <c r="L150" s="29" t="s">
        <v>30</v>
      </c>
      <c r="M150" s="29" t="s">
        <v>35</v>
      </c>
    </row>
    <row r="151" customFormat="false" ht="15" hidden="false" customHeight="false" outlineLevel="0" collapsed="false">
      <c r="A151" s="33" t="s">
        <v>47</v>
      </c>
      <c r="B151" s="33" t="s">
        <v>41</v>
      </c>
      <c r="C151" s="33" t="n">
        <v>2022</v>
      </c>
      <c r="D151" s="34" t="n">
        <v>1.92</v>
      </c>
      <c r="E151" s="34" t="n">
        <v>15.04</v>
      </c>
      <c r="F151" s="34" t="n">
        <v>7.83</v>
      </c>
      <c r="G151" s="35" t="n">
        <v>1838.4</v>
      </c>
      <c r="H151" s="35" t="n">
        <v>-227.2</v>
      </c>
      <c r="I151" s="34" t="n">
        <v>30</v>
      </c>
      <c r="J151" s="36" t="n">
        <v>0.561</v>
      </c>
      <c r="K151" s="34" t="n">
        <v>0.37</v>
      </c>
      <c r="L151" s="33" t="s">
        <v>34</v>
      </c>
      <c r="M151" s="33" t="s">
        <v>38</v>
      </c>
    </row>
    <row r="152" customFormat="false" ht="15" hidden="false" customHeight="false" outlineLevel="0" collapsed="false">
      <c r="A152" s="29" t="s">
        <v>47</v>
      </c>
      <c r="B152" s="29" t="s">
        <v>41</v>
      </c>
      <c r="C152" s="29" t="n">
        <v>2023</v>
      </c>
      <c r="D152" s="30" t="n">
        <v>2.69</v>
      </c>
      <c r="E152" s="30" t="n">
        <v>5.18</v>
      </c>
      <c r="F152" s="30" t="n">
        <v>11.41</v>
      </c>
      <c r="G152" s="31" t="n">
        <v>1726.6</v>
      </c>
      <c r="H152" s="31" t="n">
        <v>121</v>
      </c>
      <c r="I152" s="30" t="n">
        <v>56.1</v>
      </c>
      <c r="J152" s="32" t="n">
        <v>0.838</v>
      </c>
      <c r="K152" s="30" t="n">
        <v>3.65</v>
      </c>
      <c r="L152" s="29" t="s">
        <v>30</v>
      </c>
      <c r="M152" s="29" t="s">
        <v>31</v>
      </c>
    </row>
    <row r="153" customFormat="false" ht="15" hidden="false" customHeight="false" outlineLevel="0" collapsed="false">
      <c r="A153" s="33" t="s">
        <v>47</v>
      </c>
      <c r="B153" s="33" t="s">
        <v>41</v>
      </c>
      <c r="C153" s="33" t="n">
        <v>2024</v>
      </c>
      <c r="D153" s="34" t="n">
        <v>4.74</v>
      </c>
      <c r="E153" s="34" t="n">
        <v>5.63</v>
      </c>
      <c r="F153" s="34" t="n">
        <v>18.42</v>
      </c>
      <c r="G153" s="35" t="n">
        <v>671.2</v>
      </c>
      <c r="H153" s="35" t="n">
        <v>-499.9</v>
      </c>
      <c r="I153" s="34" t="n">
        <v>68.2</v>
      </c>
      <c r="J153" s="36" t="n">
        <v>0.636</v>
      </c>
      <c r="K153" s="34" t="n">
        <v>4.02</v>
      </c>
      <c r="L153" s="33" t="s">
        <v>30</v>
      </c>
      <c r="M153" s="33" t="s">
        <v>31</v>
      </c>
    </row>
    <row r="154" customFormat="false" ht="15" hidden="false" customHeight="false" outlineLevel="0" collapsed="false">
      <c r="A154" s="29" t="s">
        <v>47</v>
      </c>
      <c r="B154" s="29" t="s">
        <v>42</v>
      </c>
      <c r="C154" s="29" t="n">
        <v>2021</v>
      </c>
      <c r="D154" s="30" t="n">
        <v>1.42</v>
      </c>
      <c r="E154" s="30" t="n">
        <v>8.96</v>
      </c>
      <c r="F154" s="30" t="n">
        <v>19.04</v>
      </c>
      <c r="G154" s="31" t="n">
        <v>1572.9</v>
      </c>
      <c r="H154" s="31" t="n">
        <v>938.1</v>
      </c>
      <c r="I154" s="30" t="n">
        <v>79.1</v>
      </c>
      <c r="J154" s="32" t="n">
        <v>0.824</v>
      </c>
      <c r="K154" s="30" t="n">
        <v>1.81</v>
      </c>
      <c r="L154" s="29" t="s">
        <v>30</v>
      </c>
      <c r="M154" s="29" t="s">
        <v>31</v>
      </c>
    </row>
    <row r="155" customFormat="false" ht="15" hidden="false" customHeight="false" outlineLevel="0" collapsed="false">
      <c r="A155" s="33" t="s">
        <v>47</v>
      </c>
      <c r="B155" s="33" t="s">
        <v>42</v>
      </c>
      <c r="C155" s="33" t="n">
        <v>2022</v>
      </c>
      <c r="D155" s="34" t="n">
        <v>1.45</v>
      </c>
      <c r="E155" s="34" t="n">
        <v>13.37</v>
      </c>
      <c r="F155" s="34" t="n">
        <v>14.72</v>
      </c>
      <c r="G155" s="35" t="n">
        <v>325.4</v>
      </c>
      <c r="H155" s="35" t="n">
        <v>-283.7</v>
      </c>
      <c r="I155" s="34" t="n">
        <v>22.7</v>
      </c>
      <c r="J155" s="36" t="n">
        <v>0.601</v>
      </c>
      <c r="K155" s="34" t="n">
        <v>-0.12</v>
      </c>
      <c r="L155" s="33" t="s">
        <v>39</v>
      </c>
      <c r="M155" s="33" t="s">
        <v>31</v>
      </c>
    </row>
    <row r="156" customFormat="false" ht="15" hidden="false" customHeight="false" outlineLevel="0" collapsed="false">
      <c r="A156" s="29" t="s">
        <v>47</v>
      </c>
      <c r="B156" s="29" t="s">
        <v>42</v>
      </c>
      <c r="C156" s="29" t="n">
        <v>2023</v>
      </c>
      <c r="D156" s="30" t="n">
        <v>1.27</v>
      </c>
      <c r="E156" s="30" t="n">
        <v>16.99</v>
      </c>
      <c r="F156" s="30" t="n">
        <v>19.86</v>
      </c>
      <c r="G156" s="31" t="n">
        <v>339</v>
      </c>
      <c r="H156" s="31" t="n">
        <v>-344.2</v>
      </c>
      <c r="I156" s="30" t="n">
        <v>66</v>
      </c>
      <c r="J156" s="32" t="n">
        <v>0.573</v>
      </c>
      <c r="K156" s="30" t="n">
        <v>-1.29</v>
      </c>
      <c r="L156" s="29" t="s">
        <v>34</v>
      </c>
      <c r="M156" s="29" t="s">
        <v>31</v>
      </c>
    </row>
    <row r="157" customFormat="false" ht="15" hidden="false" customHeight="false" outlineLevel="0" collapsed="false">
      <c r="A157" s="33" t="s">
        <v>47</v>
      </c>
      <c r="B157" s="33" t="s">
        <v>42</v>
      </c>
      <c r="C157" s="33" t="n">
        <v>2024</v>
      </c>
      <c r="D157" s="34" t="n">
        <v>4.15</v>
      </c>
      <c r="E157" s="34" t="n">
        <v>8.99</v>
      </c>
      <c r="F157" s="34" t="n">
        <v>5.01</v>
      </c>
      <c r="G157" s="35" t="n">
        <v>1034.2</v>
      </c>
      <c r="H157" s="35" t="n">
        <v>1306.9</v>
      </c>
      <c r="I157" s="34" t="n">
        <v>52.4</v>
      </c>
      <c r="J157" s="36" t="n">
        <v>0.517</v>
      </c>
      <c r="K157" s="34" t="n">
        <v>2.9</v>
      </c>
      <c r="L157" s="33" t="s">
        <v>30</v>
      </c>
      <c r="M157" s="33" t="s">
        <v>35</v>
      </c>
    </row>
    <row r="158" customFormat="false" ht="15" hidden="false" customHeight="false" outlineLevel="0" collapsed="false">
      <c r="A158" s="29" t="s">
        <v>47</v>
      </c>
      <c r="B158" s="29" t="s">
        <v>43</v>
      </c>
      <c r="C158" s="29" t="n">
        <v>2021</v>
      </c>
      <c r="D158" s="30" t="n">
        <v>6.18</v>
      </c>
      <c r="E158" s="30" t="n">
        <v>7.78</v>
      </c>
      <c r="F158" s="30" t="n">
        <v>4.94</v>
      </c>
      <c r="G158" s="31" t="n">
        <v>1944.5</v>
      </c>
      <c r="H158" s="31" t="n">
        <v>17.9</v>
      </c>
      <c r="I158" s="30" t="n">
        <v>78.9</v>
      </c>
      <c r="J158" s="32" t="n">
        <v>0.481</v>
      </c>
      <c r="K158" s="30" t="n">
        <v>4.73</v>
      </c>
      <c r="L158" s="29" t="s">
        <v>30</v>
      </c>
      <c r="M158" s="29" t="s">
        <v>32</v>
      </c>
    </row>
    <row r="159" customFormat="false" ht="15" hidden="false" customHeight="false" outlineLevel="0" collapsed="false">
      <c r="A159" s="33" t="s">
        <v>47</v>
      </c>
      <c r="B159" s="33" t="s">
        <v>43</v>
      </c>
      <c r="C159" s="33" t="n">
        <v>2022</v>
      </c>
      <c r="D159" s="34" t="n">
        <v>4.92</v>
      </c>
      <c r="E159" s="34" t="n">
        <v>7.5</v>
      </c>
      <c r="F159" s="34" t="n">
        <v>16.51</v>
      </c>
      <c r="G159" s="35" t="n">
        <v>1192.1</v>
      </c>
      <c r="H159" s="35" t="n">
        <v>1280.3</v>
      </c>
      <c r="I159" s="34" t="n">
        <v>74.1</v>
      </c>
      <c r="J159" s="36" t="n">
        <v>0.821</v>
      </c>
      <c r="K159" s="34" t="n">
        <v>3.81</v>
      </c>
      <c r="L159" s="33" t="s">
        <v>30</v>
      </c>
      <c r="M159" s="33" t="s">
        <v>31</v>
      </c>
    </row>
    <row r="160" customFormat="false" ht="15" hidden="false" customHeight="false" outlineLevel="0" collapsed="false">
      <c r="A160" s="29" t="s">
        <v>47</v>
      </c>
      <c r="B160" s="29" t="s">
        <v>43</v>
      </c>
      <c r="C160" s="29" t="n">
        <v>2023</v>
      </c>
      <c r="D160" s="30" t="n">
        <v>4.01</v>
      </c>
      <c r="E160" s="30" t="n">
        <v>4.58</v>
      </c>
      <c r="F160" s="30" t="n">
        <v>3.76</v>
      </c>
      <c r="G160" s="31" t="n">
        <v>1758.3</v>
      </c>
      <c r="H160" s="31" t="n">
        <v>188.8</v>
      </c>
      <c r="I160" s="30" t="n">
        <v>51.3</v>
      </c>
      <c r="J160" s="32" t="n">
        <v>0.543</v>
      </c>
      <c r="K160" s="30" t="n">
        <v>4.51</v>
      </c>
      <c r="L160" s="29" t="s">
        <v>30</v>
      </c>
      <c r="M160" s="29" t="s">
        <v>32</v>
      </c>
    </row>
    <row r="161" customFormat="false" ht="15" hidden="false" customHeight="false" outlineLevel="0" collapsed="false">
      <c r="A161" s="33" t="s">
        <v>47</v>
      </c>
      <c r="B161" s="33" t="s">
        <v>43</v>
      </c>
      <c r="C161" s="33" t="n">
        <v>2024</v>
      </c>
      <c r="D161" s="34" t="n">
        <v>5.03</v>
      </c>
      <c r="E161" s="34" t="n">
        <v>4.81</v>
      </c>
      <c r="F161" s="34" t="n">
        <v>12.47</v>
      </c>
      <c r="G161" s="35" t="n">
        <v>706.7</v>
      </c>
      <c r="H161" s="35" t="n">
        <v>1132.3</v>
      </c>
      <c r="I161" s="34" t="n">
        <v>51.4</v>
      </c>
      <c r="J161" s="36" t="n">
        <v>0.503</v>
      </c>
      <c r="K161" s="34" t="n">
        <v>4.43</v>
      </c>
      <c r="L161" s="33" t="s">
        <v>30</v>
      </c>
      <c r="M161" s="33" t="s">
        <v>31</v>
      </c>
    </row>
    <row r="162" customFormat="false" ht="15" hidden="false" customHeight="false" outlineLevel="0" collapsed="false">
      <c r="A162" s="29" t="s">
        <v>48</v>
      </c>
      <c r="B162" s="29" t="s">
        <v>29</v>
      </c>
      <c r="C162" s="29" t="n">
        <v>2021</v>
      </c>
      <c r="D162" s="30" t="n">
        <v>1.39</v>
      </c>
      <c r="E162" s="30" t="n">
        <v>6.06</v>
      </c>
      <c r="F162" s="30" t="n">
        <v>7.56</v>
      </c>
      <c r="G162" s="31" t="n">
        <v>643.4</v>
      </c>
      <c r="H162" s="31" t="n">
        <v>-318.8</v>
      </c>
      <c r="I162" s="30" t="n">
        <v>29</v>
      </c>
      <c r="J162" s="32" t="n">
        <v>0.472</v>
      </c>
      <c r="K162" s="30" t="n">
        <v>2.2</v>
      </c>
      <c r="L162" s="29" t="s">
        <v>30</v>
      </c>
      <c r="M162" s="29" t="s">
        <v>38</v>
      </c>
    </row>
    <row r="163" customFormat="false" ht="15" hidden="false" customHeight="false" outlineLevel="0" collapsed="false">
      <c r="A163" s="33" t="s">
        <v>48</v>
      </c>
      <c r="B163" s="33" t="s">
        <v>29</v>
      </c>
      <c r="C163" s="33" t="n">
        <v>2022</v>
      </c>
      <c r="D163" s="34" t="n">
        <v>5.96</v>
      </c>
      <c r="E163" s="34" t="n">
        <v>11.14</v>
      </c>
      <c r="F163" s="34" t="n">
        <v>13.97</v>
      </c>
      <c r="G163" s="35" t="n">
        <v>430.6</v>
      </c>
      <c r="H163" s="35" t="n">
        <v>-45.1</v>
      </c>
      <c r="I163" s="34" t="n">
        <v>50.1</v>
      </c>
      <c r="J163" s="36" t="n">
        <v>0.524</v>
      </c>
      <c r="K163" s="34" t="n">
        <v>2.85</v>
      </c>
      <c r="L163" s="33" t="s">
        <v>39</v>
      </c>
      <c r="M163" s="33" t="s">
        <v>31</v>
      </c>
    </row>
    <row r="164" customFormat="false" ht="15" hidden="false" customHeight="false" outlineLevel="0" collapsed="false">
      <c r="A164" s="29" t="s">
        <v>48</v>
      </c>
      <c r="B164" s="29" t="s">
        <v>29</v>
      </c>
      <c r="C164" s="29" t="n">
        <v>2023</v>
      </c>
      <c r="D164" s="30" t="n">
        <v>3.84</v>
      </c>
      <c r="E164" s="30" t="n">
        <v>13.62</v>
      </c>
      <c r="F164" s="30" t="n">
        <v>3.06</v>
      </c>
      <c r="G164" s="31" t="n">
        <v>108.7</v>
      </c>
      <c r="H164" s="31" t="n">
        <v>362</v>
      </c>
      <c r="I164" s="30" t="n">
        <v>38.1</v>
      </c>
      <c r="J164" s="32" t="n">
        <v>0.61</v>
      </c>
      <c r="K164" s="30" t="n">
        <v>0.89</v>
      </c>
      <c r="L164" s="29" t="s">
        <v>39</v>
      </c>
      <c r="M164" s="29" t="s">
        <v>35</v>
      </c>
    </row>
    <row r="165" customFormat="false" ht="15" hidden="false" customHeight="false" outlineLevel="0" collapsed="false">
      <c r="A165" s="33" t="s">
        <v>48</v>
      </c>
      <c r="B165" s="33" t="s">
        <v>29</v>
      </c>
      <c r="C165" s="33" t="n">
        <v>2024</v>
      </c>
      <c r="D165" s="34" t="n">
        <v>5.78</v>
      </c>
      <c r="E165" s="34" t="n">
        <v>5.97</v>
      </c>
      <c r="F165" s="34" t="n">
        <v>18.98</v>
      </c>
      <c r="G165" s="35" t="n">
        <v>584.1</v>
      </c>
      <c r="H165" s="35" t="n">
        <v>834.6</v>
      </c>
      <c r="I165" s="34" t="n">
        <v>82.3</v>
      </c>
      <c r="J165" s="36" t="n">
        <v>0.496</v>
      </c>
      <c r="K165" s="34" t="n">
        <v>4.39</v>
      </c>
      <c r="L165" s="33" t="s">
        <v>30</v>
      </c>
      <c r="M165" s="33" t="s">
        <v>31</v>
      </c>
    </row>
    <row r="166" customFormat="false" ht="15" hidden="false" customHeight="false" outlineLevel="0" collapsed="false">
      <c r="A166" s="29" t="s">
        <v>48</v>
      </c>
      <c r="B166" s="29" t="s">
        <v>33</v>
      </c>
      <c r="C166" s="29" t="n">
        <v>2021</v>
      </c>
      <c r="D166" s="30" t="n">
        <v>-1.98</v>
      </c>
      <c r="E166" s="30" t="n">
        <v>3.31</v>
      </c>
      <c r="F166" s="30" t="n">
        <v>14.57</v>
      </c>
      <c r="G166" s="31" t="n">
        <v>1231.5</v>
      </c>
      <c r="H166" s="31" t="n">
        <v>1334.2</v>
      </c>
      <c r="I166" s="30" t="n">
        <v>66.4</v>
      </c>
      <c r="J166" s="32" t="n">
        <v>0.528</v>
      </c>
      <c r="K166" s="30" t="n">
        <v>1.63</v>
      </c>
      <c r="L166" s="29" t="s">
        <v>30</v>
      </c>
      <c r="M166" s="29" t="s">
        <v>31</v>
      </c>
    </row>
    <row r="167" customFormat="false" ht="15" hidden="false" customHeight="false" outlineLevel="0" collapsed="false">
      <c r="A167" s="33" t="s">
        <v>48</v>
      </c>
      <c r="B167" s="33" t="s">
        <v>33</v>
      </c>
      <c r="C167" s="33" t="n">
        <v>2022</v>
      </c>
      <c r="D167" s="34" t="n">
        <v>6.22</v>
      </c>
      <c r="E167" s="34" t="n">
        <v>13.43</v>
      </c>
      <c r="F167" s="34" t="n">
        <v>7.75</v>
      </c>
      <c r="G167" s="35" t="n">
        <v>911.1</v>
      </c>
      <c r="H167" s="35" t="n">
        <v>662</v>
      </c>
      <c r="I167" s="34" t="n">
        <v>28.8</v>
      </c>
      <c r="J167" s="36" t="n">
        <v>0.623</v>
      </c>
      <c r="K167" s="34" t="n">
        <v>2.54</v>
      </c>
      <c r="L167" s="33" t="s">
        <v>39</v>
      </c>
      <c r="M167" s="33" t="s">
        <v>32</v>
      </c>
    </row>
    <row r="168" customFormat="false" ht="15" hidden="false" customHeight="false" outlineLevel="0" collapsed="false">
      <c r="A168" s="29" t="s">
        <v>48</v>
      </c>
      <c r="B168" s="29" t="s">
        <v>33</v>
      </c>
      <c r="C168" s="29" t="n">
        <v>2023</v>
      </c>
      <c r="D168" s="30" t="n">
        <v>1.08</v>
      </c>
      <c r="E168" s="30" t="n">
        <v>9.31</v>
      </c>
      <c r="F168" s="30" t="n">
        <v>18.35</v>
      </c>
      <c r="G168" s="31" t="n">
        <v>729.8</v>
      </c>
      <c r="H168" s="31" t="n">
        <v>1205.6</v>
      </c>
      <c r="I168" s="30" t="n">
        <v>75.2</v>
      </c>
      <c r="J168" s="32" t="n">
        <v>0.712</v>
      </c>
      <c r="K168" s="30" t="n">
        <v>1.11</v>
      </c>
      <c r="L168" s="29" t="s">
        <v>30</v>
      </c>
      <c r="M168" s="29" t="s">
        <v>35</v>
      </c>
    </row>
    <row r="169" customFormat="false" ht="15" hidden="false" customHeight="false" outlineLevel="0" collapsed="false">
      <c r="A169" s="33" t="s">
        <v>48</v>
      </c>
      <c r="B169" s="33" t="s">
        <v>33</v>
      </c>
      <c r="C169" s="33" t="n">
        <v>2024</v>
      </c>
      <c r="D169" s="34" t="n">
        <v>5.31</v>
      </c>
      <c r="E169" s="34" t="n">
        <v>13.18</v>
      </c>
      <c r="F169" s="34" t="n">
        <v>13.47</v>
      </c>
      <c r="G169" s="35" t="n">
        <v>777.4</v>
      </c>
      <c r="H169" s="35" t="n">
        <v>657.9</v>
      </c>
      <c r="I169" s="34" t="n">
        <v>84.8</v>
      </c>
      <c r="J169" s="36" t="n">
        <v>0.63</v>
      </c>
      <c r="K169" s="34" t="n">
        <v>2.09</v>
      </c>
      <c r="L169" s="33" t="s">
        <v>39</v>
      </c>
      <c r="M169" s="33" t="s">
        <v>38</v>
      </c>
    </row>
    <row r="170" customFormat="false" ht="15" hidden="false" customHeight="false" outlineLevel="0" collapsed="false">
      <c r="A170" s="29" t="s">
        <v>48</v>
      </c>
      <c r="B170" s="29" t="s">
        <v>36</v>
      </c>
      <c r="C170" s="29" t="n">
        <v>2021</v>
      </c>
      <c r="D170" s="30" t="n">
        <v>2.4</v>
      </c>
      <c r="E170" s="30" t="n">
        <v>6.71</v>
      </c>
      <c r="F170" s="30" t="n">
        <v>19.22</v>
      </c>
      <c r="G170" s="31" t="n">
        <v>748.3</v>
      </c>
      <c r="H170" s="31" t="n">
        <v>20.3</v>
      </c>
      <c r="I170" s="30" t="n">
        <v>40.1</v>
      </c>
      <c r="J170" s="32" t="n">
        <v>0.578</v>
      </c>
      <c r="K170" s="30" t="n">
        <v>2.56</v>
      </c>
      <c r="L170" s="29" t="s">
        <v>30</v>
      </c>
      <c r="M170" s="29" t="s">
        <v>38</v>
      </c>
    </row>
    <row r="171" customFormat="false" ht="15" hidden="false" customHeight="false" outlineLevel="0" collapsed="false">
      <c r="A171" s="33" t="s">
        <v>48</v>
      </c>
      <c r="B171" s="33" t="s">
        <v>36</v>
      </c>
      <c r="C171" s="33" t="n">
        <v>2022</v>
      </c>
      <c r="D171" s="34" t="n">
        <v>7.56</v>
      </c>
      <c r="E171" s="34" t="n">
        <v>12.77</v>
      </c>
      <c r="F171" s="34" t="n">
        <v>6.68</v>
      </c>
      <c r="G171" s="35" t="n">
        <v>925</v>
      </c>
      <c r="H171" s="35" t="n">
        <v>1183.7</v>
      </c>
      <c r="I171" s="34" t="n">
        <v>28.6</v>
      </c>
      <c r="J171" s="36" t="n">
        <v>0.526</v>
      </c>
      <c r="K171" s="34" t="n">
        <v>3.41</v>
      </c>
      <c r="L171" s="33" t="s">
        <v>39</v>
      </c>
      <c r="M171" s="33" t="s">
        <v>31</v>
      </c>
    </row>
    <row r="172" customFormat="false" ht="15" hidden="false" customHeight="false" outlineLevel="0" collapsed="false">
      <c r="A172" s="29" t="s">
        <v>48</v>
      </c>
      <c r="B172" s="29" t="s">
        <v>36</v>
      </c>
      <c r="C172" s="29" t="n">
        <v>2023</v>
      </c>
      <c r="D172" s="30" t="n">
        <v>7.86</v>
      </c>
      <c r="E172" s="30" t="n">
        <v>11.51</v>
      </c>
      <c r="F172" s="30" t="n">
        <v>7.4</v>
      </c>
      <c r="G172" s="31" t="n">
        <v>103.4</v>
      </c>
      <c r="H172" s="31" t="n">
        <v>487.3</v>
      </c>
      <c r="I172" s="30" t="n">
        <v>58</v>
      </c>
      <c r="J172" s="32" t="n">
        <v>0.81</v>
      </c>
      <c r="K172" s="30" t="n">
        <v>3.53</v>
      </c>
      <c r="L172" s="29" t="s">
        <v>39</v>
      </c>
      <c r="M172" s="29" t="s">
        <v>35</v>
      </c>
    </row>
    <row r="173" customFormat="false" ht="15" hidden="false" customHeight="false" outlineLevel="0" collapsed="false">
      <c r="A173" s="33" t="s">
        <v>48</v>
      </c>
      <c r="B173" s="33" t="s">
        <v>36</v>
      </c>
      <c r="C173" s="33" t="n">
        <v>2024</v>
      </c>
      <c r="D173" s="34" t="n">
        <v>-1.66</v>
      </c>
      <c r="E173" s="34" t="n">
        <v>2.94</v>
      </c>
      <c r="F173" s="34" t="n">
        <v>12.35</v>
      </c>
      <c r="G173" s="35" t="n">
        <v>501.6</v>
      </c>
      <c r="H173" s="35" t="n">
        <v>114.7</v>
      </c>
      <c r="I173" s="34" t="n">
        <v>68</v>
      </c>
      <c r="J173" s="36" t="n">
        <v>0.752</v>
      </c>
      <c r="K173" s="34" t="n">
        <v>1.54</v>
      </c>
      <c r="L173" s="33" t="s">
        <v>30</v>
      </c>
      <c r="M173" s="33" t="s">
        <v>38</v>
      </c>
    </row>
    <row r="174" customFormat="false" ht="15" hidden="false" customHeight="false" outlineLevel="0" collapsed="false">
      <c r="A174" s="29" t="s">
        <v>48</v>
      </c>
      <c r="B174" s="29" t="s">
        <v>37</v>
      </c>
      <c r="C174" s="29" t="n">
        <v>2021</v>
      </c>
      <c r="D174" s="30" t="n">
        <v>3.82</v>
      </c>
      <c r="E174" s="30" t="n">
        <v>8.29</v>
      </c>
      <c r="F174" s="30" t="n">
        <v>4.85</v>
      </c>
      <c r="G174" s="31" t="n">
        <v>948.2</v>
      </c>
      <c r="H174" s="31" t="n">
        <v>1268.4</v>
      </c>
      <c r="I174" s="30" t="n">
        <v>34.3</v>
      </c>
      <c r="J174" s="32" t="n">
        <v>0.533</v>
      </c>
      <c r="K174" s="30" t="n">
        <v>2.9</v>
      </c>
      <c r="L174" s="29" t="s">
        <v>30</v>
      </c>
      <c r="M174" s="29" t="s">
        <v>31</v>
      </c>
    </row>
    <row r="175" customFormat="false" ht="15" hidden="false" customHeight="false" outlineLevel="0" collapsed="false">
      <c r="A175" s="33" t="s">
        <v>48</v>
      </c>
      <c r="B175" s="33" t="s">
        <v>37</v>
      </c>
      <c r="C175" s="33" t="n">
        <v>2022</v>
      </c>
      <c r="D175" s="34" t="n">
        <v>-0.54</v>
      </c>
      <c r="E175" s="34" t="n">
        <v>10.52</v>
      </c>
      <c r="F175" s="34" t="n">
        <v>20.75</v>
      </c>
      <c r="G175" s="35" t="n">
        <v>470.6</v>
      </c>
      <c r="H175" s="35" t="n">
        <v>1496.1</v>
      </c>
      <c r="I175" s="34" t="n">
        <v>30.5</v>
      </c>
      <c r="J175" s="36" t="n">
        <v>0.53</v>
      </c>
      <c r="K175" s="34" t="n">
        <v>-0.19</v>
      </c>
      <c r="L175" s="33" t="s">
        <v>39</v>
      </c>
      <c r="M175" s="33" t="s">
        <v>31</v>
      </c>
    </row>
    <row r="176" customFormat="false" ht="15" hidden="false" customHeight="false" outlineLevel="0" collapsed="false">
      <c r="A176" s="29" t="s">
        <v>48</v>
      </c>
      <c r="B176" s="29" t="s">
        <v>37</v>
      </c>
      <c r="C176" s="29" t="n">
        <v>2023</v>
      </c>
      <c r="D176" s="30" t="n">
        <v>1.67</v>
      </c>
      <c r="E176" s="30" t="n">
        <v>6.25</v>
      </c>
      <c r="F176" s="30" t="n">
        <v>4.23</v>
      </c>
      <c r="G176" s="31" t="n">
        <v>1085.3</v>
      </c>
      <c r="H176" s="31" t="n">
        <v>771.8</v>
      </c>
      <c r="I176" s="30" t="n">
        <v>48.4</v>
      </c>
      <c r="J176" s="32" t="n">
        <v>0.828</v>
      </c>
      <c r="K176" s="30" t="n">
        <v>2.5</v>
      </c>
      <c r="L176" s="29" t="s">
        <v>30</v>
      </c>
      <c r="M176" s="29" t="s">
        <v>35</v>
      </c>
    </row>
    <row r="177" customFormat="false" ht="15" hidden="false" customHeight="false" outlineLevel="0" collapsed="false">
      <c r="A177" s="33" t="s">
        <v>48</v>
      </c>
      <c r="B177" s="33" t="s">
        <v>37</v>
      </c>
      <c r="C177" s="33" t="n">
        <v>2024</v>
      </c>
      <c r="D177" s="34" t="n">
        <v>1.24</v>
      </c>
      <c r="E177" s="34" t="n">
        <v>8.14</v>
      </c>
      <c r="F177" s="34" t="n">
        <v>19.82</v>
      </c>
      <c r="G177" s="35" t="n">
        <v>218.6</v>
      </c>
      <c r="H177" s="35" t="n">
        <v>306.7</v>
      </c>
      <c r="I177" s="34" t="n">
        <v>26.6</v>
      </c>
      <c r="J177" s="36" t="n">
        <v>0.715</v>
      </c>
      <c r="K177" s="34" t="n">
        <v>1.29</v>
      </c>
      <c r="L177" s="33" t="s">
        <v>30</v>
      </c>
      <c r="M177" s="33" t="s">
        <v>32</v>
      </c>
    </row>
    <row r="178" customFormat="false" ht="15" hidden="false" customHeight="false" outlineLevel="0" collapsed="false">
      <c r="A178" s="29" t="s">
        <v>48</v>
      </c>
      <c r="B178" s="29" t="s">
        <v>40</v>
      </c>
      <c r="C178" s="29" t="n">
        <v>2021</v>
      </c>
      <c r="D178" s="30" t="n">
        <v>6.46</v>
      </c>
      <c r="E178" s="30" t="n">
        <v>16.04</v>
      </c>
      <c r="F178" s="30" t="n">
        <v>18.8</v>
      </c>
      <c r="G178" s="31" t="n">
        <v>320.5</v>
      </c>
      <c r="H178" s="31" t="n">
        <v>1165.4</v>
      </c>
      <c r="I178" s="30" t="n">
        <v>50.3</v>
      </c>
      <c r="J178" s="32" t="n">
        <v>0.6</v>
      </c>
      <c r="K178" s="30" t="n">
        <v>1.58</v>
      </c>
      <c r="L178" s="29" t="s">
        <v>34</v>
      </c>
      <c r="M178" s="29" t="s">
        <v>32</v>
      </c>
    </row>
    <row r="179" customFormat="false" ht="15" hidden="false" customHeight="false" outlineLevel="0" collapsed="false">
      <c r="A179" s="33" t="s">
        <v>48</v>
      </c>
      <c r="B179" s="33" t="s">
        <v>40</v>
      </c>
      <c r="C179" s="33" t="n">
        <v>2022</v>
      </c>
      <c r="D179" s="34" t="n">
        <v>-0.15</v>
      </c>
      <c r="E179" s="34" t="n">
        <v>9.56</v>
      </c>
      <c r="F179" s="34" t="n">
        <v>9.09</v>
      </c>
      <c r="G179" s="35" t="n">
        <v>1238.5</v>
      </c>
      <c r="H179" s="35" t="n">
        <v>1357.6</v>
      </c>
      <c r="I179" s="34" t="n">
        <v>50.6</v>
      </c>
      <c r="J179" s="36" t="n">
        <v>0.702</v>
      </c>
      <c r="K179" s="34" t="n">
        <v>0.68</v>
      </c>
      <c r="L179" s="33" t="s">
        <v>30</v>
      </c>
      <c r="M179" s="33" t="s">
        <v>38</v>
      </c>
    </row>
    <row r="180" customFormat="false" ht="15" hidden="false" customHeight="false" outlineLevel="0" collapsed="false">
      <c r="A180" s="29" t="s">
        <v>48</v>
      </c>
      <c r="B180" s="29" t="s">
        <v>40</v>
      </c>
      <c r="C180" s="29" t="n">
        <v>2023</v>
      </c>
      <c r="D180" s="30" t="n">
        <v>-0.82</v>
      </c>
      <c r="E180" s="30" t="n">
        <v>3.93</v>
      </c>
      <c r="F180" s="30" t="n">
        <v>15.55</v>
      </c>
      <c r="G180" s="31" t="n">
        <v>351.7</v>
      </c>
      <c r="H180" s="31" t="n">
        <v>1209.7</v>
      </c>
      <c r="I180" s="30" t="n">
        <v>40.6</v>
      </c>
      <c r="J180" s="32" t="n">
        <v>0.793</v>
      </c>
      <c r="K180" s="30" t="n">
        <v>1.59</v>
      </c>
      <c r="L180" s="29" t="s">
        <v>30</v>
      </c>
      <c r="M180" s="29" t="s">
        <v>32</v>
      </c>
    </row>
    <row r="181" customFormat="false" ht="15" hidden="false" customHeight="false" outlineLevel="0" collapsed="false">
      <c r="A181" s="33" t="s">
        <v>48</v>
      </c>
      <c r="B181" s="33" t="s">
        <v>40</v>
      </c>
      <c r="C181" s="33" t="n">
        <v>2024</v>
      </c>
      <c r="D181" s="34" t="n">
        <v>3.38</v>
      </c>
      <c r="E181" s="34" t="n">
        <v>3.88</v>
      </c>
      <c r="F181" s="34" t="n">
        <v>14.34</v>
      </c>
      <c r="G181" s="35" t="n">
        <v>652.9</v>
      </c>
      <c r="H181" s="35" t="n">
        <v>-499.8</v>
      </c>
      <c r="I181" s="34" t="n">
        <v>24.7</v>
      </c>
      <c r="J181" s="36" t="n">
        <v>0.453</v>
      </c>
      <c r="K181" s="34" t="n">
        <v>3.85</v>
      </c>
      <c r="L181" s="33" t="s">
        <v>30</v>
      </c>
      <c r="M181" s="33" t="s">
        <v>32</v>
      </c>
    </row>
    <row r="182" customFormat="false" ht="15" hidden="false" customHeight="false" outlineLevel="0" collapsed="false">
      <c r="A182" s="29" t="s">
        <v>48</v>
      </c>
      <c r="B182" s="29" t="s">
        <v>41</v>
      </c>
      <c r="C182" s="29" t="n">
        <v>2021</v>
      </c>
      <c r="D182" s="30" t="n">
        <v>1.77</v>
      </c>
      <c r="E182" s="30" t="n">
        <v>6.95</v>
      </c>
      <c r="F182" s="30" t="n">
        <v>9.21</v>
      </c>
      <c r="G182" s="31" t="n">
        <v>798.8</v>
      </c>
      <c r="H182" s="31" t="n">
        <v>575.2</v>
      </c>
      <c r="I182" s="30" t="n">
        <v>30.2</v>
      </c>
      <c r="J182" s="32" t="n">
        <v>0.789</v>
      </c>
      <c r="K182" s="30" t="n">
        <v>2.2</v>
      </c>
      <c r="L182" s="29" t="s">
        <v>30</v>
      </c>
      <c r="M182" s="29" t="s">
        <v>32</v>
      </c>
    </row>
    <row r="183" customFormat="false" ht="15" hidden="false" customHeight="false" outlineLevel="0" collapsed="false">
      <c r="A183" s="33" t="s">
        <v>48</v>
      </c>
      <c r="B183" s="33" t="s">
        <v>41</v>
      </c>
      <c r="C183" s="33" t="n">
        <v>2022</v>
      </c>
      <c r="D183" s="34" t="n">
        <v>2.52</v>
      </c>
      <c r="E183" s="34" t="n">
        <v>15.38</v>
      </c>
      <c r="F183" s="34" t="n">
        <v>15.73</v>
      </c>
      <c r="G183" s="35" t="n">
        <v>1586.4</v>
      </c>
      <c r="H183" s="35" t="n">
        <v>-498.4</v>
      </c>
      <c r="I183" s="34" t="n">
        <v>38.2</v>
      </c>
      <c r="J183" s="36" t="n">
        <v>0.879</v>
      </c>
      <c r="K183" s="34" t="n">
        <v>0.44</v>
      </c>
      <c r="L183" s="33" t="s">
        <v>34</v>
      </c>
      <c r="M183" s="33" t="s">
        <v>31</v>
      </c>
    </row>
    <row r="184" customFormat="false" ht="15" hidden="false" customHeight="false" outlineLevel="0" collapsed="false">
      <c r="A184" s="29" t="s">
        <v>48</v>
      </c>
      <c r="B184" s="29" t="s">
        <v>41</v>
      </c>
      <c r="C184" s="29" t="n">
        <v>2023</v>
      </c>
      <c r="D184" s="30" t="n">
        <v>1.94</v>
      </c>
      <c r="E184" s="30" t="n">
        <v>2.51</v>
      </c>
      <c r="F184" s="30" t="n">
        <v>13.91</v>
      </c>
      <c r="G184" s="31" t="n">
        <v>679.4</v>
      </c>
      <c r="H184" s="31" t="n">
        <v>883.8</v>
      </c>
      <c r="I184" s="30" t="n">
        <v>35.8</v>
      </c>
      <c r="J184" s="32" t="n">
        <v>0.603</v>
      </c>
      <c r="K184" s="30" t="n">
        <v>3.56</v>
      </c>
      <c r="L184" s="29" t="s">
        <v>30</v>
      </c>
      <c r="M184" s="29" t="s">
        <v>38</v>
      </c>
    </row>
    <row r="185" customFormat="false" ht="15" hidden="false" customHeight="false" outlineLevel="0" collapsed="false">
      <c r="A185" s="33" t="s">
        <v>48</v>
      </c>
      <c r="B185" s="33" t="s">
        <v>41</v>
      </c>
      <c r="C185" s="33" t="n">
        <v>2024</v>
      </c>
      <c r="D185" s="34" t="n">
        <v>6.72</v>
      </c>
      <c r="E185" s="34" t="n">
        <v>3.93</v>
      </c>
      <c r="F185" s="34" t="n">
        <v>7.86</v>
      </c>
      <c r="G185" s="35" t="n">
        <v>82.9</v>
      </c>
      <c r="H185" s="35" t="n">
        <v>171.7</v>
      </c>
      <c r="I185" s="34" t="n">
        <v>66.9</v>
      </c>
      <c r="J185" s="36" t="n">
        <v>0.604</v>
      </c>
      <c r="K185" s="34" t="n">
        <v>5.22</v>
      </c>
      <c r="L185" s="33" t="s">
        <v>30</v>
      </c>
      <c r="M185" s="33" t="s">
        <v>31</v>
      </c>
    </row>
    <row r="186" customFormat="false" ht="15" hidden="false" customHeight="false" outlineLevel="0" collapsed="false">
      <c r="A186" s="29" t="s">
        <v>48</v>
      </c>
      <c r="B186" s="29" t="s">
        <v>42</v>
      </c>
      <c r="C186" s="29" t="n">
        <v>2021</v>
      </c>
      <c r="D186" s="30" t="n">
        <v>2.47</v>
      </c>
      <c r="E186" s="30" t="n">
        <v>11.4</v>
      </c>
      <c r="F186" s="30" t="n">
        <v>13.38</v>
      </c>
      <c r="G186" s="31" t="n">
        <v>940.1</v>
      </c>
      <c r="H186" s="31" t="n">
        <v>-276.6</v>
      </c>
      <c r="I186" s="30" t="n">
        <v>47.5</v>
      </c>
      <c r="J186" s="32" t="n">
        <v>0.796</v>
      </c>
      <c r="K186" s="30" t="n">
        <v>1.29</v>
      </c>
      <c r="L186" s="29" t="s">
        <v>39</v>
      </c>
      <c r="M186" s="29" t="s">
        <v>31</v>
      </c>
    </row>
    <row r="187" customFormat="false" ht="15" hidden="false" customHeight="false" outlineLevel="0" collapsed="false">
      <c r="A187" s="33" t="s">
        <v>48</v>
      </c>
      <c r="B187" s="33" t="s">
        <v>42</v>
      </c>
      <c r="C187" s="33" t="n">
        <v>2022</v>
      </c>
      <c r="D187" s="34" t="n">
        <v>6.77</v>
      </c>
      <c r="E187" s="34" t="n">
        <v>16.35</v>
      </c>
      <c r="F187" s="34" t="n">
        <v>19.15</v>
      </c>
      <c r="G187" s="35" t="n">
        <v>813.9</v>
      </c>
      <c r="H187" s="35" t="n">
        <v>1469.1</v>
      </c>
      <c r="I187" s="34" t="n">
        <v>44.5</v>
      </c>
      <c r="J187" s="36" t="n">
        <v>0.59</v>
      </c>
      <c r="K187" s="34" t="n">
        <v>1.89</v>
      </c>
      <c r="L187" s="33" t="s">
        <v>34</v>
      </c>
      <c r="M187" s="33" t="s">
        <v>35</v>
      </c>
    </row>
    <row r="188" customFormat="false" ht="15" hidden="false" customHeight="false" outlineLevel="0" collapsed="false">
      <c r="A188" s="29" t="s">
        <v>48</v>
      </c>
      <c r="B188" s="29" t="s">
        <v>42</v>
      </c>
      <c r="C188" s="29" t="n">
        <v>2023</v>
      </c>
      <c r="D188" s="30" t="n">
        <v>1.02</v>
      </c>
      <c r="E188" s="30" t="n">
        <v>11.12</v>
      </c>
      <c r="F188" s="30" t="n">
        <v>10.39</v>
      </c>
      <c r="G188" s="31" t="n">
        <v>161.3</v>
      </c>
      <c r="H188" s="31" t="n">
        <v>1381.8</v>
      </c>
      <c r="I188" s="30" t="n">
        <v>62.5</v>
      </c>
      <c r="J188" s="32" t="n">
        <v>0.803</v>
      </c>
      <c r="K188" s="30" t="n">
        <v>0.25</v>
      </c>
      <c r="L188" s="29" t="s">
        <v>39</v>
      </c>
      <c r="M188" s="29" t="s">
        <v>31</v>
      </c>
    </row>
    <row r="189" customFormat="false" ht="15" hidden="false" customHeight="false" outlineLevel="0" collapsed="false">
      <c r="A189" s="33" t="s">
        <v>48</v>
      </c>
      <c r="B189" s="33" t="s">
        <v>42</v>
      </c>
      <c r="C189" s="33" t="n">
        <v>2024</v>
      </c>
      <c r="D189" s="34" t="n">
        <v>6.43</v>
      </c>
      <c r="E189" s="34" t="n">
        <v>11.95</v>
      </c>
      <c r="F189" s="34" t="n">
        <v>15.08</v>
      </c>
      <c r="G189" s="35" t="n">
        <v>1203.7</v>
      </c>
      <c r="H189" s="35" t="n">
        <v>1353.5</v>
      </c>
      <c r="I189" s="34" t="n">
        <v>30.7</v>
      </c>
      <c r="J189" s="36" t="n">
        <v>0.58</v>
      </c>
      <c r="K189" s="34" t="n">
        <v>3.23</v>
      </c>
      <c r="L189" s="33" t="s">
        <v>39</v>
      </c>
      <c r="M189" s="33" t="s">
        <v>35</v>
      </c>
    </row>
    <row r="190" customFormat="false" ht="15" hidden="false" customHeight="false" outlineLevel="0" collapsed="false">
      <c r="A190" s="29" t="s">
        <v>48</v>
      </c>
      <c r="B190" s="29" t="s">
        <v>43</v>
      </c>
      <c r="C190" s="29" t="n">
        <v>2021</v>
      </c>
      <c r="D190" s="30" t="n">
        <v>5.65</v>
      </c>
      <c r="E190" s="30" t="n">
        <v>3.13</v>
      </c>
      <c r="F190" s="30" t="n">
        <v>5.58</v>
      </c>
      <c r="G190" s="31" t="n">
        <v>1330.9</v>
      </c>
      <c r="H190" s="31" t="n">
        <v>913</v>
      </c>
      <c r="I190" s="30" t="n">
        <v>86.3</v>
      </c>
      <c r="J190" s="32" t="n">
        <v>0.744</v>
      </c>
      <c r="K190" s="30" t="n">
        <v>5.55</v>
      </c>
      <c r="L190" s="29" t="s">
        <v>30</v>
      </c>
      <c r="M190" s="29" t="s">
        <v>35</v>
      </c>
    </row>
    <row r="191" customFormat="false" ht="15" hidden="false" customHeight="false" outlineLevel="0" collapsed="false">
      <c r="A191" s="33" t="s">
        <v>48</v>
      </c>
      <c r="B191" s="33" t="s">
        <v>43</v>
      </c>
      <c r="C191" s="33" t="n">
        <v>2022</v>
      </c>
      <c r="D191" s="34" t="n">
        <v>7.2</v>
      </c>
      <c r="E191" s="34" t="n">
        <v>9.75</v>
      </c>
      <c r="F191" s="34" t="n">
        <v>16.74</v>
      </c>
      <c r="G191" s="35" t="n">
        <v>1887.5</v>
      </c>
      <c r="H191" s="35" t="n">
        <v>-242.3</v>
      </c>
      <c r="I191" s="34" t="n">
        <v>30.8</v>
      </c>
      <c r="J191" s="36" t="n">
        <v>0.58</v>
      </c>
      <c r="K191" s="34" t="n">
        <v>4.62</v>
      </c>
      <c r="L191" s="33" t="s">
        <v>30</v>
      </c>
      <c r="M191" s="33" t="s">
        <v>38</v>
      </c>
    </row>
    <row r="192" customFormat="false" ht="15" hidden="false" customHeight="false" outlineLevel="0" collapsed="false">
      <c r="A192" s="29" t="s">
        <v>48</v>
      </c>
      <c r="B192" s="29" t="s">
        <v>43</v>
      </c>
      <c r="C192" s="29" t="n">
        <v>2023</v>
      </c>
      <c r="D192" s="30" t="n">
        <v>-1.73</v>
      </c>
      <c r="E192" s="30" t="n">
        <v>10.94</v>
      </c>
      <c r="F192" s="30" t="n">
        <v>20.41</v>
      </c>
      <c r="G192" s="31" t="n">
        <v>1095.3</v>
      </c>
      <c r="H192" s="31" t="n">
        <v>289.3</v>
      </c>
      <c r="I192" s="30" t="n">
        <v>33.2</v>
      </c>
      <c r="J192" s="32" t="n">
        <v>0.507</v>
      </c>
      <c r="K192" s="30" t="n">
        <v>-0.6</v>
      </c>
      <c r="L192" s="29" t="s">
        <v>39</v>
      </c>
      <c r="M192" s="29" t="s">
        <v>32</v>
      </c>
    </row>
    <row r="193" customFormat="false" ht="15" hidden="false" customHeight="false" outlineLevel="0" collapsed="false">
      <c r="A193" s="33" t="s">
        <v>48</v>
      </c>
      <c r="B193" s="33" t="s">
        <v>43</v>
      </c>
      <c r="C193" s="33" t="n">
        <v>2024</v>
      </c>
      <c r="D193" s="34" t="n">
        <v>3.27</v>
      </c>
      <c r="E193" s="34" t="n">
        <v>10.29</v>
      </c>
      <c r="F193" s="34" t="n">
        <v>16.05</v>
      </c>
      <c r="G193" s="35" t="n">
        <v>525.2</v>
      </c>
      <c r="H193" s="35" t="n">
        <v>303.6</v>
      </c>
      <c r="I193" s="34" t="n">
        <v>20.4</v>
      </c>
      <c r="J193" s="36" t="n">
        <v>0.575</v>
      </c>
      <c r="K193" s="34" t="n">
        <v>1.81</v>
      </c>
      <c r="L193" s="33" t="s">
        <v>39</v>
      </c>
      <c r="M193" s="33" t="s">
        <v>35</v>
      </c>
    </row>
    <row r="194" customFormat="false" ht="15" hidden="false" customHeight="false" outlineLevel="0" collapsed="false">
      <c r="A194" s="29" t="s">
        <v>49</v>
      </c>
      <c r="B194" s="29" t="s">
        <v>29</v>
      </c>
      <c r="C194" s="29" t="n">
        <v>2021</v>
      </c>
      <c r="D194" s="30" t="n">
        <v>4.01</v>
      </c>
      <c r="E194" s="30" t="n">
        <v>11.68</v>
      </c>
      <c r="F194" s="30" t="n">
        <v>12.11</v>
      </c>
      <c r="G194" s="31" t="n">
        <v>1039.9</v>
      </c>
      <c r="H194" s="31" t="n">
        <v>1402.3</v>
      </c>
      <c r="I194" s="30" t="n">
        <v>21.3</v>
      </c>
      <c r="J194" s="32" t="n">
        <v>0.793</v>
      </c>
      <c r="K194" s="30" t="n">
        <v>2.02</v>
      </c>
      <c r="L194" s="29" t="s">
        <v>39</v>
      </c>
      <c r="M194" s="29" t="s">
        <v>38</v>
      </c>
    </row>
    <row r="195" customFormat="false" ht="15" hidden="false" customHeight="false" outlineLevel="0" collapsed="false">
      <c r="A195" s="33" t="s">
        <v>49</v>
      </c>
      <c r="B195" s="33" t="s">
        <v>29</v>
      </c>
      <c r="C195" s="33" t="n">
        <v>2022</v>
      </c>
      <c r="D195" s="34" t="n">
        <v>0.08</v>
      </c>
      <c r="E195" s="34" t="n">
        <v>15.35</v>
      </c>
      <c r="F195" s="34" t="n">
        <v>5.17</v>
      </c>
      <c r="G195" s="35" t="n">
        <v>405.8</v>
      </c>
      <c r="H195" s="35" t="n">
        <v>514.9</v>
      </c>
      <c r="I195" s="34" t="n">
        <v>20.5</v>
      </c>
      <c r="J195" s="36" t="n">
        <v>0.84</v>
      </c>
      <c r="K195" s="34" t="n">
        <v>-1.36</v>
      </c>
      <c r="L195" s="33" t="s">
        <v>34</v>
      </c>
      <c r="M195" s="33" t="s">
        <v>35</v>
      </c>
    </row>
    <row r="196" customFormat="false" ht="15" hidden="false" customHeight="false" outlineLevel="0" collapsed="false">
      <c r="A196" s="29" t="s">
        <v>49</v>
      </c>
      <c r="B196" s="29" t="s">
        <v>29</v>
      </c>
      <c r="C196" s="29" t="n">
        <v>2023</v>
      </c>
      <c r="D196" s="30" t="n">
        <v>0.5</v>
      </c>
      <c r="E196" s="30" t="n">
        <v>5.04</v>
      </c>
      <c r="F196" s="30" t="n">
        <v>7.11</v>
      </c>
      <c r="G196" s="31" t="n">
        <v>1556.9</v>
      </c>
      <c r="H196" s="31" t="n">
        <v>983.5</v>
      </c>
      <c r="I196" s="30" t="n">
        <v>50</v>
      </c>
      <c r="J196" s="32" t="n">
        <v>0.857</v>
      </c>
      <c r="K196" s="30" t="n">
        <v>2.52</v>
      </c>
      <c r="L196" s="29" t="s">
        <v>30</v>
      </c>
      <c r="M196" s="29" t="s">
        <v>35</v>
      </c>
    </row>
    <row r="197" customFormat="false" ht="15" hidden="false" customHeight="false" outlineLevel="0" collapsed="false">
      <c r="A197" s="33" t="s">
        <v>49</v>
      </c>
      <c r="B197" s="33" t="s">
        <v>29</v>
      </c>
      <c r="C197" s="33" t="n">
        <v>2024</v>
      </c>
      <c r="D197" s="34" t="n">
        <v>2.85</v>
      </c>
      <c r="E197" s="34" t="n">
        <v>5.9</v>
      </c>
      <c r="F197" s="34" t="n">
        <v>11.2</v>
      </c>
      <c r="G197" s="35" t="n">
        <v>1028.1</v>
      </c>
      <c r="H197" s="35" t="n">
        <v>1083</v>
      </c>
      <c r="I197" s="34" t="n">
        <v>36.6</v>
      </c>
      <c r="J197" s="36" t="n">
        <v>0.515</v>
      </c>
      <c r="K197" s="34" t="n">
        <v>3.17</v>
      </c>
      <c r="L197" s="33" t="s">
        <v>30</v>
      </c>
      <c r="M197" s="33" t="s">
        <v>35</v>
      </c>
    </row>
    <row r="198" customFormat="false" ht="15" hidden="false" customHeight="false" outlineLevel="0" collapsed="false">
      <c r="A198" s="29" t="s">
        <v>49</v>
      </c>
      <c r="B198" s="29" t="s">
        <v>33</v>
      </c>
      <c r="C198" s="29" t="n">
        <v>2021</v>
      </c>
      <c r="D198" s="30" t="n">
        <v>5.91</v>
      </c>
      <c r="E198" s="30" t="n">
        <v>13.03</v>
      </c>
      <c r="F198" s="30" t="n">
        <v>12.3</v>
      </c>
      <c r="G198" s="31" t="n">
        <v>1573.7</v>
      </c>
      <c r="H198" s="31" t="n">
        <v>1252.9</v>
      </c>
      <c r="I198" s="30" t="n">
        <v>81</v>
      </c>
      <c r="J198" s="32" t="n">
        <v>0.492</v>
      </c>
      <c r="K198" s="30" t="n">
        <v>2.83</v>
      </c>
      <c r="L198" s="29" t="s">
        <v>39</v>
      </c>
      <c r="M198" s="29" t="s">
        <v>35</v>
      </c>
    </row>
    <row r="199" customFormat="false" ht="15" hidden="false" customHeight="false" outlineLevel="0" collapsed="false">
      <c r="A199" s="33" t="s">
        <v>49</v>
      </c>
      <c r="B199" s="33" t="s">
        <v>33</v>
      </c>
      <c r="C199" s="33" t="n">
        <v>2022</v>
      </c>
      <c r="D199" s="34" t="n">
        <v>4.66</v>
      </c>
      <c r="E199" s="34" t="n">
        <v>16.87</v>
      </c>
      <c r="F199" s="34" t="n">
        <v>17.52</v>
      </c>
      <c r="G199" s="35" t="n">
        <v>1122.8</v>
      </c>
      <c r="H199" s="35" t="n">
        <v>953.2</v>
      </c>
      <c r="I199" s="34" t="n">
        <v>75.7</v>
      </c>
      <c r="J199" s="36" t="n">
        <v>0.621</v>
      </c>
      <c r="K199" s="34" t="n">
        <v>0.83</v>
      </c>
      <c r="L199" s="33" t="s">
        <v>34</v>
      </c>
      <c r="M199" s="33" t="s">
        <v>31</v>
      </c>
    </row>
    <row r="200" customFormat="false" ht="15" hidden="false" customHeight="false" outlineLevel="0" collapsed="false">
      <c r="A200" s="29" t="s">
        <v>49</v>
      </c>
      <c r="B200" s="29" t="s">
        <v>33</v>
      </c>
      <c r="C200" s="29" t="n">
        <v>2023</v>
      </c>
      <c r="D200" s="30" t="n">
        <v>2.59</v>
      </c>
      <c r="E200" s="30" t="n">
        <v>5.2</v>
      </c>
      <c r="F200" s="30" t="n">
        <v>11.83</v>
      </c>
      <c r="G200" s="31" t="n">
        <v>265.1</v>
      </c>
      <c r="H200" s="31" t="n">
        <v>928</v>
      </c>
      <c r="I200" s="30" t="n">
        <v>57.5</v>
      </c>
      <c r="J200" s="32" t="n">
        <v>0.639</v>
      </c>
      <c r="K200" s="30" t="n">
        <v>2.87</v>
      </c>
      <c r="L200" s="29" t="s">
        <v>30</v>
      </c>
      <c r="M200" s="29" t="s">
        <v>31</v>
      </c>
    </row>
    <row r="201" customFormat="false" ht="15" hidden="false" customHeight="false" outlineLevel="0" collapsed="false">
      <c r="A201" s="33" t="s">
        <v>49</v>
      </c>
      <c r="B201" s="33" t="s">
        <v>33</v>
      </c>
      <c r="C201" s="33" t="n">
        <v>2024</v>
      </c>
      <c r="D201" s="34" t="n">
        <v>6.44</v>
      </c>
      <c r="E201" s="34" t="n">
        <v>5.29</v>
      </c>
      <c r="F201" s="34" t="n">
        <v>10.07</v>
      </c>
      <c r="G201" s="35" t="n">
        <v>936.9</v>
      </c>
      <c r="H201" s="35" t="n">
        <v>-325.9</v>
      </c>
      <c r="I201" s="34" t="n">
        <v>32</v>
      </c>
      <c r="J201" s="36" t="n">
        <v>0.589</v>
      </c>
      <c r="K201" s="34" t="n">
        <v>5.1</v>
      </c>
      <c r="L201" s="33" t="s">
        <v>30</v>
      </c>
      <c r="M201" s="33" t="s">
        <v>32</v>
      </c>
    </row>
    <row r="202" customFormat="false" ht="15" hidden="false" customHeight="false" outlineLevel="0" collapsed="false">
      <c r="A202" s="29" t="s">
        <v>49</v>
      </c>
      <c r="B202" s="29" t="s">
        <v>36</v>
      </c>
      <c r="C202" s="29" t="n">
        <v>2021</v>
      </c>
      <c r="D202" s="30" t="n">
        <v>2.47</v>
      </c>
      <c r="E202" s="30" t="n">
        <v>5.71</v>
      </c>
      <c r="F202" s="30" t="n">
        <v>16.02</v>
      </c>
      <c r="G202" s="31" t="n">
        <v>1722.2</v>
      </c>
      <c r="H202" s="31" t="n">
        <v>379.9</v>
      </c>
      <c r="I202" s="30" t="n">
        <v>46.8</v>
      </c>
      <c r="J202" s="32" t="n">
        <v>0.568</v>
      </c>
      <c r="K202" s="30" t="n">
        <v>3.38</v>
      </c>
      <c r="L202" s="29" t="s">
        <v>30</v>
      </c>
      <c r="M202" s="29" t="s">
        <v>31</v>
      </c>
    </row>
    <row r="203" customFormat="false" ht="15" hidden="false" customHeight="false" outlineLevel="0" collapsed="false">
      <c r="A203" s="33" t="s">
        <v>49</v>
      </c>
      <c r="B203" s="33" t="s">
        <v>36</v>
      </c>
      <c r="C203" s="33" t="n">
        <v>2022</v>
      </c>
      <c r="D203" s="34" t="n">
        <v>-0.67</v>
      </c>
      <c r="E203" s="34" t="n">
        <v>3.05</v>
      </c>
      <c r="F203" s="34" t="n">
        <v>15.73</v>
      </c>
      <c r="G203" s="35" t="n">
        <v>324.7</v>
      </c>
      <c r="H203" s="35" t="n">
        <v>903.7</v>
      </c>
      <c r="I203" s="34" t="n">
        <v>62.8</v>
      </c>
      <c r="J203" s="36" t="n">
        <v>0.776</v>
      </c>
      <c r="K203" s="34" t="n">
        <v>1.91</v>
      </c>
      <c r="L203" s="33" t="s">
        <v>30</v>
      </c>
      <c r="M203" s="33" t="s">
        <v>38</v>
      </c>
    </row>
    <row r="204" customFormat="false" ht="15" hidden="false" customHeight="false" outlineLevel="0" collapsed="false">
      <c r="A204" s="29" t="s">
        <v>49</v>
      </c>
      <c r="B204" s="29" t="s">
        <v>36</v>
      </c>
      <c r="C204" s="29" t="n">
        <v>2023</v>
      </c>
      <c r="D204" s="30" t="n">
        <v>6.63</v>
      </c>
      <c r="E204" s="30" t="n">
        <v>16.49</v>
      </c>
      <c r="F204" s="30" t="n">
        <v>9.53</v>
      </c>
      <c r="G204" s="31" t="n">
        <v>350</v>
      </c>
      <c r="H204" s="31" t="n">
        <v>-15.1</v>
      </c>
      <c r="I204" s="30" t="n">
        <v>20.8</v>
      </c>
      <c r="J204" s="32" t="n">
        <v>0.565</v>
      </c>
      <c r="K204" s="30" t="n">
        <v>1.54</v>
      </c>
      <c r="L204" s="29" t="s">
        <v>34</v>
      </c>
      <c r="M204" s="29" t="s">
        <v>32</v>
      </c>
    </row>
    <row r="205" customFormat="false" ht="15" hidden="false" customHeight="false" outlineLevel="0" collapsed="false">
      <c r="A205" s="33" t="s">
        <v>49</v>
      </c>
      <c r="B205" s="33" t="s">
        <v>36</v>
      </c>
      <c r="C205" s="33" t="n">
        <v>2024</v>
      </c>
      <c r="D205" s="34" t="n">
        <v>-0.36</v>
      </c>
      <c r="E205" s="34" t="n">
        <v>12.46</v>
      </c>
      <c r="F205" s="34" t="n">
        <v>11.94</v>
      </c>
      <c r="G205" s="35" t="n">
        <v>1163.4</v>
      </c>
      <c r="H205" s="35" t="n">
        <v>103.5</v>
      </c>
      <c r="I205" s="34" t="n">
        <v>65.1</v>
      </c>
      <c r="J205" s="36" t="n">
        <v>0.728</v>
      </c>
      <c r="K205" s="34" t="n">
        <v>-0.34</v>
      </c>
      <c r="L205" s="33" t="s">
        <v>39</v>
      </c>
      <c r="M205" s="33" t="s">
        <v>31</v>
      </c>
    </row>
    <row r="206" customFormat="false" ht="15" hidden="false" customHeight="false" outlineLevel="0" collapsed="false">
      <c r="A206" s="29" t="s">
        <v>49</v>
      </c>
      <c r="B206" s="29" t="s">
        <v>37</v>
      </c>
      <c r="C206" s="29" t="n">
        <v>2021</v>
      </c>
      <c r="D206" s="30" t="n">
        <v>-1.47</v>
      </c>
      <c r="E206" s="30" t="n">
        <v>3.59</v>
      </c>
      <c r="F206" s="30" t="n">
        <v>17.57</v>
      </c>
      <c r="G206" s="31" t="n">
        <v>1613</v>
      </c>
      <c r="H206" s="31" t="n">
        <v>1238.7</v>
      </c>
      <c r="I206" s="30" t="n">
        <v>84.7</v>
      </c>
      <c r="J206" s="32" t="n">
        <v>0.8</v>
      </c>
      <c r="K206" s="30" t="n">
        <v>1.99</v>
      </c>
      <c r="L206" s="29" t="s">
        <v>30</v>
      </c>
      <c r="M206" s="29" t="s">
        <v>38</v>
      </c>
    </row>
    <row r="207" customFormat="false" ht="15" hidden="false" customHeight="false" outlineLevel="0" collapsed="false">
      <c r="A207" s="33" t="s">
        <v>49</v>
      </c>
      <c r="B207" s="33" t="s">
        <v>37</v>
      </c>
      <c r="C207" s="33" t="n">
        <v>2022</v>
      </c>
      <c r="D207" s="34" t="n">
        <v>-1.83</v>
      </c>
      <c r="E207" s="34" t="n">
        <v>17.75</v>
      </c>
      <c r="F207" s="34" t="n">
        <v>10.32</v>
      </c>
      <c r="G207" s="35" t="n">
        <v>807.8</v>
      </c>
      <c r="H207" s="35" t="n">
        <v>104.8</v>
      </c>
      <c r="I207" s="34" t="n">
        <v>79.6</v>
      </c>
      <c r="J207" s="36" t="n">
        <v>0.611</v>
      </c>
      <c r="K207" s="34" t="n">
        <v>-2.84</v>
      </c>
      <c r="L207" s="33" t="s">
        <v>34</v>
      </c>
      <c r="M207" s="33" t="s">
        <v>31</v>
      </c>
    </row>
    <row r="208" customFormat="false" ht="15" hidden="false" customHeight="false" outlineLevel="0" collapsed="false">
      <c r="A208" s="29" t="s">
        <v>49</v>
      </c>
      <c r="B208" s="29" t="s">
        <v>37</v>
      </c>
      <c r="C208" s="29" t="n">
        <v>2023</v>
      </c>
      <c r="D208" s="30" t="n">
        <v>5.61</v>
      </c>
      <c r="E208" s="30" t="n">
        <v>9.35</v>
      </c>
      <c r="F208" s="30" t="n">
        <v>8.03</v>
      </c>
      <c r="G208" s="31" t="n">
        <v>696.3</v>
      </c>
      <c r="H208" s="31" t="n">
        <v>-128.1</v>
      </c>
      <c r="I208" s="30" t="n">
        <v>41.7</v>
      </c>
      <c r="J208" s="32" t="n">
        <v>0.61</v>
      </c>
      <c r="K208" s="30" t="n">
        <v>3.35</v>
      </c>
      <c r="L208" s="29" t="s">
        <v>30</v>
      </c>
      <c r="M208" s="29" t="s">
        <v>32</v>
      </c>
    </row>
    <row r="209" customFormat="false" ht="15" hidden="false" customHeight="false" outlineLevel="0" collapsed="false">
      <c r="A209" s="33" t="s">
        <v>49</v>
      </c>
      <c r="B209" s="33" t="s">
        <v>37</v>
      </c>
      <c r="C209" s="33" t="n">
        <v>2024</v>
      </c>
      <c r="D209" s="34" t="n">
        <v>1.91</v>
      </c>
      <c r="E209" s="34" t="n">
        <v>15.65</v>
      </c>
      <c r="F209" s="34" t="n">
        <v>10.87</v>
      </c>
      <c r="G209" s="35" t="n">
        <v>989.2</v>
      </c>
      <c r="H209" s="35" t="n">
        <v>129</v>
      </c>
      <c r="I209" s="34" t="n">
        <v>68.1</v>
      </c>
      <c r="J209" s="36" t="n">
        <v>0.843</v>
      </c>
      <c r="K209" s="34" t="n">
        <v>-0.25</v>
      </c>
      <c r="L209" s="33" t="s">
        <v>34</v>
      </c>
      <c r="M209" s="33" t="s">
        <v>32</v>
      </c>
    </row>
    <row r="210" customFormat="false" ht="15" hidden="false" customHeight="false" outlineLevel="0" collapsed="false">
      <c r="A210" s="29" t="s">
        <v>49</v>
      </c>
      <c r="B210" s="29" t="s">
        <v>40</v>
      </c>
      <c r="C210" s="29" t="n">
        <v>2021</v>
      </c>
      <c r="D210" s="30" t="n">
        <v>6.32</v>
      </c>
      <c r="E210" s="30" t="n">
        <v>10.61</v>
      </c>
      <c r="F210" s="30" t="n">
        <v>9.6</v>
      </c>
      <c r="G210" s="31" t="n">
        <v>965.3</v>
      </c>
      <c r="H210" s="31" t="n">
        <v>942.7</v>
      </c>
      <c r="I210" s="30" t="n">
        <v>30.4</v>
      </c>
      <c r="J210" s="32" t="n">
        <v>0.846</v>
      </c>
      <c r="K210" s="30" t="n">
        <v>3.46</v>
      </c>
      <c r="L210" s="29" t="s">
        <v>39</v>
      </c>
      <c r="M210" s="29" t="s">
        <v>38</v>
      </c>
    </row>
    <row r="211" customFormat="false" ht="15" hidden="false" customHeight="false" outlineLevel="0" collapsed="false">
      <c r="A211" s="33" t="s">
        <v>49</v>
      </c>
      <c r="B211" s="33" t="s">
        <v>40</v>
      </c>
      <c r="C211" s="33" t="n">
        <v>2022</v>
      </c>
      <c r="D211" s="34" t="n">
        <v>6.35</v>
      </c>
      <c r="E211" s="34" t="n">
        <v>15.15</v>
      </c>
      <c r="F211" s="34" t="n">
        <v>10.67</v>
      </c>
      <c r="G211" s="35" t="n">
        <v>1607.5</v>
      </c>
      <c r="H211" s="35" t="n">
        <v>-354.7</v>
      </c>
      <c r="I211" s="34" t="n">
        <v>38.5</v>
      </c>
      <c r="J211" s="36" t="n">
        <v>0.466</v>
      </c>
      <c r="K211" s="34" t="n">
        <v>2.43</v>
      </c>
      <c r="L211" s="33" t="s">
        <v>34</v>
      </c>
      <c r="M211" s="33" t="s">
        <v>38</v>
      </c>
    </row>
    <row r="212" customFormat="false" ht="15" hidden="false" customHeight="false" outlineLevel="0" collapsed="false">
      <c r="A212" s="29" t="s">
        <v>49</v>
      </c>
      <c r="B212" s="29" t="s">
        <v>40</v>
      </c>
      <c r="C212" s="29" t="n">
        <v>2023</v>
      </c>
      <c r="D212" s="30" t="n">
        <v>6.94</v>
      </c>
      <c r="E212" s="30" t="n">
        <v>17.99</v>
      </c>
      <c r="F212" s="30" t="n">
        <v>8.1</v>
      </c>
      <c r="G212" s="31" t="n">
        <v>1267.5</v>
      </c>
      <c r="H212" s="31" t="n">
        <v>409.2</v>
      </c>
      <c r="I212" s="30" t="n">
        <v>51.4</v>
      </c>
      <c r="J212" s="32" t="n">
        <v>0.713</v>
      </c>
      <c r="K212" s="30" t="n">
        <v>1.71</v>
      </c>
      <c r="L212" s="29" t="s">
        <v>34</v>
      </c>
      <c r="M212" s="29" t="s">
        <v>38</v>
      </c>
    </row>
    <row r="213" customFormat="false" ht="15" hidden="false" customHeight="false" outlineLevel="0" collapsed="false">
      <c r="A213" s="33" t="s">
        <v>49</v>
      </c>
      <c r="B213" s="33" t="s">
        <v>40</v>
      </c>
      <c r="C213" s="33" t="n">
        <v>2024</v>
      </c>
      <c r="D213" s="34" t="n">
        <v>0.13</v>
      </c>
      <c r="E213" s="34" t="n">
        <v>10.68</v>
      </c>
      <c r="F213" s="34" t="n">
        <v>19.59</v>
      </c>
      <c r="G213" s="35" t="n">
        <v>1413</v>
      </c>
      <c r="H213" s="35" t="n">
        <v>1399.4</v>
      </c>
      <c r="I213" s="34" t="n">
        <v>23.5</v>
      </c>
      <c r="J213" s="36" t="n">
        <v>0.599</v>
      </c>
      <c r="K213" s="34" t="n">
        <v>0.57</v>
      </c>
      <c r="L213" s="33" t="s">
        <v>39</v>
      </c>
      <c r="M213" s="33" t="s">
        <v>35</v>
      </c>
    </row>
    <row r="214" customFormat="false" ht="15" hidden="false" customHeight="false" outlineLevel="0" collapsed="false">
      <c r="A214" s="29" t="s">
        <v>49</v>
      </c>
      <c r="B214" s="29" t="s">
        <v>41</v>
      </c>
      <c r="C214" s="29" t="n">
        <v>2021</v>
      </c>
      <c r="D214" s="30" t="n">
        <v>-0.9</v>
      </c>
      <c r="E214" s="30" t="n">
        <v>2.86</v>
      </c>
      <c r="F214" s="30" t="n">
        <v>3.16</v>
      </c>
      <c r="G214" s="31" t="n">
        <v>407.5</v>
      </c>
      <c r="H214" s="31" t="n">
        <v>874</v>
      </c>
      <c r="I214" s="30" t="n">
        <v>39.7</v>
      </c>
      <c r="J214" s="32" t="n">
        <v>0.779</v>
      </c>
      <c r="K214" s="30" t="n">
        <v>1.9</v>
      </c>
      <c r="L214" s="29" t="s">
        <v>30</v>
      </c>
      <c r="M214" s="29" t="s">
        <v>31</v>
      </c>
    </row>
    <row r="215" customFormat="false" ht="15" hidden="false" customHeight="false" outlineLevel="0" collapsed="false">
      <c r="A215" s="33" t="s">
        <v>49</v>
      </c>
      <c r="B215" s="33" t="s">
        <v>41</v>
      </c>
      <c r="C215" s="33" t="n">
        <v>2022</v>
      </c>
      <c r="D215" s="34" t="n">
        <v>-1.47</v>
      </c>
      <c r="E215" s="34" t="n">
        <v>16.1</v>
      </c>
      <c r="F215" s="34" t="n">
        <v>8.99</v>
      </c>
      <c r="G215" s="35" t="n">
        <v>1135</v>
      </c>
      <c r="H215" s="35" t="n">
        <v>-162.9</v>
      </c>
      <c r="I215" s="34" t="n">
        <v>69.7</v>
      </c>
      <c r="J215" s="36" t="n">
        <v>0.543</v>
      </c>
      <c r="K215" s="34" t="n">
        <v>-2</v>
      </c>
      <c r="L215" s="33" t="s">
        <v>34</v>
      </c>
      <c r="M215" s="33" t="s">
        <v>35</v>
      </c>
    </row>
    <row r="216" customFormat="false" ht="15" hidden="false" customHeight="false" outlineLevel="0" collapsed="false">
      <c r="A216" s="29" t="s">
        <v>49</v>
      </c>
      <c r="B216" s="29" t="s">
        <v>41</v>
      </c>
      <c r="C216" s="29" t="n">
        <v>2023</v>
      </c>
      <c r="D216" s="30" t="n">
        <v>5.84</v>
      </c>
      <c r="E216" s="30" t="n">
        <v>11.46</v>
      </c>
      <c r="F216" s="30" t="n">
        <v>7.99</v>
      </c>
      <c r="G216" s="31" t="n">
        <v>1667.7</v>
      </c>
      <c r="H216" s="31" t="n">
        <v>1385.3</v>
      </c>
      <c r="I216" s="30" t="n">
        <v>22.2</v>
      </c>
      <c r="J216" s="32" t="n">
        <v>0.796</v>
      </c>
      <c r="K216" s="30" t="n">
        <v>3.32</v>
      </c>
      <c r="L216" s="29" t="s">
        <v>39</v>
      </c>
      <c r="M216" s="29" t="s">
        <v>31</v>
      </c>
    </row>
    <row r="217" customFormat="false" ht="15" hidden="false" customHeight="false" outlineLevel="0" collapsed="false">
      <c r="A217" s="33" t="s">
        <v>49</v>
      </c>
      <c r="B217" s="33" t="s">
        <v>41</v>
      </c>
      <c r="C217" s="33" t="n">
        <v>2024</v>
      </c>
      <c r="D217" s="34" t="n">
        <v>6.02</v>
      </c>
      <c r="E217" s="34" t="n">
        <v>10.42</v>
      </c>
      <c r="F217" s="34" t="n">
        <v>5.79</v>
      </c>
      <c r="G217" s="35" t="n">
        <v>753.5</v>
      </c>
      <c r="H217" s="35" t="n">
        <v>876.1</v>
      </c>
      <c r="I217" s="34" t="n">
        <v>66.9</v>
      </c>
      <c r="J217" s="36" t="n">
        <v>0.49</v>
      </c>
      <c r="K217" s="34" t="n">
        <v>3.26</v>
      </c>
      <c r="L217" s="33" t="s">
        <v>39</v>
      </c>
      <c r="M217" s="33" t="s">
        <v>31</v>
      </c>
    </row>
    <row r="218" customFormat="false" ht="15" hidden="false" customHeight="false" outlineLevel="0" collapsed="false">
      <c r="A218" s="29" t="s">
        <v>49</v>
      </c>
      <c r="B218" s="29" t="s">
        <v>42</v>
      </c>
      <c r="C218" s="29" t="n">
        <v>2021</v>
      </c>
      <c r="D218" s="30" t="n">
        <v>3.35</v>
      </c>
      <c r="E218" s="30" t="n">
        <v>7.48</v>
      </c>
      <c r="F218" s="30" t="n">
        <v>10.36</v>
      </c>
      <c r="G218" s="31" t="n">
        <v>985.8</v>
      </c>
      <c r="H218" s="31" t="n">
        <v>98.9</v>
      </c>
      <c r="I218" s="30" t="n">
        <v>77.6</v>
      </c>
      <c r="J218" s="32" t="n">
        <v>0.649</v>
      </c>
      <c r="K218" s="30" t="n">
        <v>2.92</v>
      </c>
      <c r="L218" s="29" t="s">
        <v>30</v>
      </c>
      <c r="M218" s="29" t="s">
        <v>32</v>
      </c>
    </row>
    <row r="219" customFormat="false" ht="15" hidden="false" customHeight="false" outlineLevel="0" collapsed="false">
      <c r="A219" s="33" t="s">
        <v>49</v>
      </c>
      <c r="B219" s="33" t="s">
        <v>42</v>
      </c>
      <c r="C219" s="33" t="n">
        <v>2022</v>
      </c>
      <c r="D219" s="34" t="n">
        <v>7.82</v>
      </c>
      <c r="E219" s="34" t="n">
        <v>15.03</v>
      </c>
      <c r="F219" s="34" t="n">
        <v>7.2</v>
      </c>
      <c r="G219" s="35" t="n">
        <v>727.2</v>
      </c>
      <c r="H219" s="35" t="n">
        <v>-193.3</v>
      </c>
      <c r="I219" s="34" t="n">
        <v>82.2</v>
      </c>
      <c r="J219" s="36" t="n">
        <v>0.577</v>
      </c>
      <c r="K219" s="34" t="n">
        <v>2.76</v>
      </c>
      <c r="L219" s="33" t="s">
        <v>34</v>
      </c>
      <c r="M219" s="33" t="s">
        <v>35</v>
      </c>
    </row>
    <row r="220" customFormat="false" ht="15" hidden="false" customHeight="false" outlineLevel="0" collapsed="false">
      <c r="A220" s="29" t="s">
        <v>49</v>
      </c>
      <c r="B220" s="29" t="s">
        <v>42</v>
      </c>
      <c r="C220" s="29" t="n">
        <v>2023</v>
      </c>
      <c r="D220" s="30" t="n">
        <v>7.89</v>
      </c>
      <c r="E220" s="30" t="n">
        <v>17.39</v>
      </c>
      <c r="F220" s="30" t="n">
        <v>19.5</v>
      </c>
      <c r="G220" s="31" t="n">
        <v>992</v>
      </c>
      <c r="H220" s="31" t="n">
        <v>1470.2</v>
      </c>
      <c r="I220" s="30" t="n">
        <v>63.4</v>
      </c>
      <c r="J220" s="32" t="n">
        <v>0.668</v>
      </c>
      <c r="K220" s="30" t="n">
        <v>2.22</v>
      </c>
      <c r="L220" s="29" t="s">
        <v>34</v>
      </c>
      <c r="M220" s="29" t="s">
        <v>31</v>
      </c>
    </row>
    <row r="221" customFormat="false" ht="15" hidden="false" customHeight="false" outlineLevel="0" collapsed="false">
      <c r="A221" s="33" t="s">
        <v>49</v>
      </c>
      <c r="B221" s="33" t="s">
        <v>42</v>
      </c>
      <c r="C221" s="33" t="n">
        <v>2024</v>
      </c>
      <c r="D221" s="34" t="n">
        <v>4.48</v>
      </c>
      <c r="E221" s="34" t="n">
        <v>12.26</v>
      </c>
      <c r="F221" s="34" t="n">
        <v>13.79</v>
      </c>
      <c r="G221" s="35" t="n">
        <v>729.9</v>
      </c>
      <c r="H221" s="35" t="n">
        <v>-90.5</v>
      </c>
      <c r="I221" s="34" t="n">
        <v>73</v>
      </c>
      <c r="J221" s="36" t="n">
        <v>0.535</v>
      </c>
      <c r="K221" s="34" t="n">
        <v>1.93</v>
      </c>
      <c r="L221" s="33" t="s">
        <v>39</v>
      </c>
      <c r="M221" s="33" t="s">
        <v>32</v>
      </c>
    </row>
    <row r="222" customFormat="false" ht="15" hidden="false" customHeight="false" outlineLevel="0" collapsed="false">
      <c r="A222" s="29" t="s">
        <v>49</v>
      </c>
      <c r="B222" s="29" t="s">
        <v>43</v>
      </c>
      <c r="C222" s="29" t="n">
        <v>2021</v>
      </c>
      <c r="D222" s="30" t="n">
        <v>2.32</v>
      </c>
      <c r="E222" s="30" t="n">
        <v>13.42</v>
      </c>
      <c r="F222" s="30" t="n">
        <v>6.58</v>
      </c>
      <c r="G222" s="31" t="n">
        <v>57.3</v>
      </c>
      <c r="H222" s="31" t="n">
        <v>1411.1</v>
      </c>
      <c r="I222" s="30" t="n">
        <v>26.3</v>
      </c>
      <c r="J222" s="32" t="n">
        <v>0.805</v>
      </c>
      <c r="K222" s="30" t="n">
        <v>0.16</v>
      </c>
      <c r="L222" s="29" t="s">
        <v>39</v>
      </c>
      <c r="M222" s="29" t="s">
        <v>35</v>
      </c>
    </row>
    <row r="223" customFormat="false" ht="15" hidden="false" customHeight="false" outlineLevel="0" collapsed="false">
      <c r="A223" s="33" t="s">
        <v>49</v>
      </c>
      <c r="B223" s="33" t="s">
        <v>43</v>
      </c>
      <c r="C223" s="33" t="n">
        <v>2022</v>
      </c>
      <c r="D223" s="34" t="n">
        <v>5.29</v>
      </c>
      <c r="E223" s="34" t="n">
        <v>7.99</v>
      </c>
      <c r="F223" s="34" t="n">
        <v>13.2</v>
      </c>
      <c r="G223" s="35" t="n">
        <v>1519.9</v>
      </c>
      <c r="H223" s="35" t="n">
        <v>810</v>
      </c>
      <c r="I223" s="34" t="n">
        <v>61.6</v>
      </c>
      <c r="J223" s="36" t="n">
        <v>0.833</v>
      </c>
      <c r="K223" s="34" t="n">
        <v>4.01</v>
      </c>
      <c r="L223" s="33" t="s">
        <v>30</v>
      </c>
      <c r="M223" s="33" t="s">
        <v>35</v>
      </c>
    </row>
    <row r="224" customFormat="false" ht="15" hidden="false" customHeight="false" outlineLevel="0" collapsed="false">
      <c r="A224" s="29" t="s">
        <v>49</v>
      </c>
      <c r="B224" s="29" t="s">
        <v>43</v>
      </c>
      <c r="C224" s="29" t="n">
        <v>2023</v>
      </c>
      <c r="D224" s="30" t="n">
        <v>0.22</v>
      </c>
      <c r="E224" s="30" t="n">
        <v>12.43</v>
      </c>
      <c r="F224" s="30" t="n">
        <v>14.26</v>
      </c>
      <c r="G224" s="31" t="n">
        <v>1367.5</v>
      </c>
      <c r="H224" s="31" t="n">
        <v>-30.3</v>
      </c>
      <c r="I224" s="30" t="n">
        <v>85.3</v>
      </c>
      <c r="J224" s="32" t="n">
        <v>0.709</v>
      </c>
      <c r="K224" s="30" t="n">
        <v>0.06</v>
      </c>
      <c r="L224" s="29" t="s">
        <v>39</v>
      </c>
      <c r="M224" s="29" t="s">
        <v>31</v>
      </c>
    </row>
    <row r="225" customFormat="false" ht="15" hidden="false" customHeight="false" outlineLevel="0" collapsed="false">
      <c r="A225" s="33" t="s">
        <v>49</v>
      </c>
      <c r="B225" s="33" t="s">
        <v>43</v>
      </c>
      <c r="C225" s="33" t="n">
        <v>2024</v>
      </c>
      <c r="D225" s="34" t="n">
        <v>4.45</v>
      </c>
      <c r="E225" s="34" t="n">
        <v>8.35</v>
      </c>
      <c r="F225" s="34" t="n">
        <v>18.6</v>
      </c>
      <c r="G225" s="35" t="n">
        <v>612.6</v>
      </c>
      <c r="H225" s="35" t="n">
        <v>1112.2</v>
      </c>
      <c r="I225" s="34" t="n">
        <v>40</v>
      </c>
      <c r="J225" s="36" t="n">
        <v>0.814</v>
      </c>
      <c r="K225" s="34" t="n">
        <v>3.03</v>
      </c>
      <c r="L225" s="33" t="s">
        <v>30</v>
      </c>
      <c r="M225" s="33" t="s">
        <v>32</v>
      </c>
    </row>
    <row r="226" customFormat="false" ht="15" hidden="false" customHeight="false" outlineLevel="0" collapsed="false">
      <c r="A226" s="29" t="s">
        <v>50</v>
      </c>
      <c r="B226" s="29" t="s">
        <v>29</v>
      </c>
      <c r="C226" s="29" t="n">
        <v>2021</v>
      </c>
      <c r="D226" s="30" t="n">
        <v>7.89</v>
      </c>
      <c r="E226" s="30" t="n">
        <v>10.75</v>
      </c>
      <c r="F226" s="30" t="n">
        <v>15.86</v>
      </c>
      <c r="G226" s="31" t="n">
        <v>547.8</v>
      </c>
      <c r="H226" s="31" t="n">
        <v>-72.8</v>
      </c>
      <c r="I226" s="30" t="n">
        <v>81.3</v>
      </c>
      <c r="J226" s="32" t="n">
        <v>0.559</v>
      </c>
      <c r="K226" s="30" t="n">
        <v>3.99</v>
      </c>
      <c r="L226" s="29" t="s">
        <v>39</v>
      </c>
      <c r="M226" s="29" t="s">
        <v>32</v>
      </c>
    </row>
    <row r="227" customFormat="false" ht="15" hidden="false" customHeight="false" outlineLevel="0" collapsed="false">
      <c r="A227" s="33" t="s">
        <v>50</v>
      </c>
      <c r="B227" s="33" t="s">
        <v>29</v>
      </c>
      <c r="C227" s="33" t="n">
        <v>2022</v>
      </c>
      <c r="D227" s="34" t="n">
        <v>-1.52</v>
      </c>
      <c r="E227" s="34" t="n">
        <v>6.36</v>
      </c>
      <c r="F227" s="34" t="n">
        <v>19.05</v>
      </c>
      <c r="G227" s="35" t="n">
        <v>909.7</v>
      </c>
      <c r="H227" s="35" t="n">
        <v>1024.3</v>
      </c>
      <c r="I227" s="34" t="n">
        <v>52.9</v>
      </c>
      <c r="J227" s="36" t="n">
        <v>0.629</v>
      </c>
      <c r="K227" s="34" t="n">
        <v>0.79</v>
      </c>
      <c r="L227" s="33" t="s">
        <v>30</v>
      </c>
      <c r="M227" s="33" t="s">
        <v>35</v>
      </c>
    </row>
    <row r="228" customFormat="false" ht="15" hidden="false" customHeight="false" outlineLevel="0" collapsed="false">
      <c r="A228" s="29" t="s">
        <v>50</v>
      </c>
      <c r="B228" s="29" t="s">
        <v>29</v>
      </c>
      <c r="C228" s="29" t="n">
        <v>2023</v>
      </c>
      <c r="D228" s="30" t="n">
        <v>4.82</v>
      </c>
      <c r="E228" s="30" t="n">
        <v>10.16</v>
      </c>
      <c r="F228" s="30" t="n">
        <v>7.84</v>
      </c>
      <c r="G228" s="31" t="n">
        <v>1786</v>
      </c>
      <c r="H228" s="31" t="n">
        <v>1265</v>
      </c>
      <c r="I228" s="30" t="n">
        <v>86.9</v>
      </c>
      <c r="J228" s="32" t="n">
        <v>0.848</v>
      </c>
      <c r="K228" s="30" t="n">
        <v>3.25</v>
      </c>
      <c r="L228" s="29" t="s">
        <v>39</v>
      </c>
      <c r="M228" s="29" t="s">
        <v>38</v>
      </c>
    </row>
    <row r="229" customFormat="false" ht="15" hidden="false" customHeight="false" outlineLevel="0" collapsed="false">
      <c r="A229" s="33" t="s">
        <v>50</v>
      </c>
      <c r="B229" s="33" t="s">
        <v>29</v>
      </c>
      <c r="C229" s="33" t="n">
        <v>2024</v>
      </c>
      <c r="D229" s="34" t="n">
        <v>7.49</v>
      </c>
      <c r="E229" s="34" t="n">
        <v>5.11</v>
      </c>
      <c r="F229" s="34" t="n">
        <v>5.76</v>
      </c>
      <c r="G229" s="35" t="n">
        <v>1664.7</v>
      </c>
      <c r="H229" s="35" t="n">
        <v>1396.1</v>
      </c>
      <c r="I229" s="34" t="n">
        <v>57.5</v>
      </c>
      <c r="J229" s="36" t="n">
        <v>0.686</v>
      </c>
      <c r="K229" s="34" t="n">
        <v>6.04</v>
      </c>
      <c r="L229" s="33" t="s">
        <v>30</v>
      </c>
      <c r="M229" s="33" t="s">
        <v>35</v>
      </c>
    </row>
    <row r="230" customFormat="false" ht="15" hidden="false" customHeight="false" outlineLevel="0" collapsed="false">
      <c r="A230" s="29" t="s">
        <v>50</v>
      </c>
      <c r="B230" s="29" t="s">
        <v>33</v>
      </c>
      <c r="C230" s="29" t="n">
        <v>2021</v>
      </c>
      <c r="D230" s="30" t="n">
        <v>2.51</v>
      </c>
      <c r="E230" s="30" t="n">
        <v>3.87</v>
      </c>
      <c r="F230" s="30" t="n">
        <v>6.29</v>
      </c>
      <c r="G230" s="31" t="n">
        <v>915.4</v>
      </c>
      <c r="H230" s="31" t="n">
        <v>-285.4</v>
      </c>
      <c r="I230" s="30" t="n">
        <v>24.3</v>
      </c>
      <c r="J230" s="32" t="n">
        <v>0.708</v>
      </c>
      <c r="K230" s="30" t="n">
        <v>3.55</v>
      </c>
      <c r="L230" s="29" t="s">
        <v>30</v>
      </c>
      <c r="M230" s="29" t="s">
        <v>32</v>
      </c>
    </row>
    <row r="231" customFormat="false" ht="15" hidden="false" customHeight="false" outlineLevel="0" collapsed="false">
      <c r="A231" s="33" t="s">
        <v>50</v>
      </c>
      <c r="B231" s="33" t="s">
        <v>33</v>
      </c>
      <c r="C231" s="33" t="n">
        <v>2022</v>
      </c>
      <c r="D231" s="34" t="n">
        <v>4.48</v>
      </c>
      <c r="E231" s="34" t="n">
        <v>13.93</v>
      </c>
      <c r="F231" s="34" t="n">
        <v>16.47</v>
      </c>
      <c r="G231" s="35" t="n">
        <v>1072.4</v>
      </c>
      <c r="H231" s="35" t="n">
        <v>756.6</v>
      </c>
      <c r="I231" s="34" t="n">
        <v>54</v>
      </c>
      <c r="J231" s="36" t="n">
        <v>0.854</v>
      </c>
      <c r="K231" s="34" t="n">
        <v>1.6</v>
      </c>
      <c r="L231" s="33" t="s">
        <v>39</v>
      </c>
      <c r="M231" s="33" t="s">
        <v>35</v>
      </c>
    </row>
    <row r="232" customFormat="false" ht="15" hidden="false" customHeight="false" outlineLevel="0" collapsed="false">
      <c r="A232" s="29" t="s">
        <v>50</v>
      </c>
      <c r="B232" s="29" t="s">
        <v>33</v>
      </c>
      <c r="C232" s="29" t="n">
        <v>2023</v>
      </c>
      <c r="D232" s="30" t="n">
        <v>0.71</v>
      </c>
      <c r="E232" s="30" t="n">
        <v>11.49</v>
      </c>
      <c r="F232" s="30" t="n">
        <v>17.36</v>
      </c>
      <c r="G232" s="31" t="n">
        <v>687</v>
      </c>
      <c r="H232" s="31" t="n">
        <v>7.7</v>
      </c>
      <c r="I232" s="30" t="n">
        <v>44.3</v>
      </c>
      <c r="J232" s="32" t="n">
        <v>0.46</v>
      </c>
      <c r="K232" s="30" t="n">
        <v>0.25</v>
      </c>
      <c r="L232" s="29" t="s">
        <v>39</v>
      </c>
      <c r="M232" s="29" t="s">
        <v>35</v>
      </c>
    </row>
    <row r="233" customFormat="false" ht="15" hidden="false" customHeight="false" outlineLevel="0" collapsed="false">
      <c r="A233" s="33" t="s">
        <v>50</v>
      </c>
      <c r="B233" s="33" t="s">
        <v>33</v>
      </c>
      <c r="C233" s="33" t="n">
        <v>2024</v>
      </c>
      <c r="D233" s="34" t="n">
        <v>5.17</v>
      </c>
      <c r="E233" s="34" t="n">
        <v>8.59</v>
      </c>
      <c r="F233" s="34" t="n">
        <v>21.62</v>
      </c>
      <c r="G233" s="35" t="n">
        <v>1745.8</v>
      </c>
      <c r="H233" s="35" t="n">
        <v>1371.6</v>
      </c>
      <c r="I233" s="34" t="n">
        <v>81.2</v>
      </c>
      <c r="J233" s="36" t="n">
        <v>0.869</v>
      </c>
      <c r="K233" s="34" t="n">
        <v>3.88</v>
      </c>
      <c r="L233" s="33" t="s">
        <v>30</v>
      </c>
      <c r="M233" s="33" t="s">
        <v>32</v>
      </c>
    </row>
    <row r="234" customFormat="false" ht="15" hidden="false" customHeight="false" outlineLevel="0" collapsed="false">
      <c r="A234" s="29" t="s">
        <v>50</v>
      </c>
      <c r="B234" s="29" t="s">
        <v>36</v>
      </c>
      <c r="C234" s="29" t="n">
        <v>2021</v>
      </c>
      <c r="D234" s="30" t="n">
        <v>7.57</v>
      </c>
      <c r="E234" s="30" t="n">
        <v>16.2</v>
      </c>
      <c r="F234" s="30" t="n">
        <v>6.55</v>
      </c>
      <c r="G234" s="31" t="n">
        <v>292.9</v>
      </c>
      <c r="H234" s="31" t="n">
        <v>321.8</v>
      </c>
      <c r="I234" s="30" t="n">
        <v>75.5</v>
      </c>
      <c r="J234" s="32" t="n">
        <v>0.624</v>
      </c>
      <c r="K234" s="30" t="n">
        <v>2.07</v>
      </c>
      <c r="L234" s="29" t="s">
        <v>34</v>
      </c>
      <c r="M234" s="29" t="s">
        <v>38</v>
      </c>
    </row>
    <row r="235" customFormat="false" ht="15" hidden="false" customHeight="false" outlineLevel="0" collapsed="false">
      <c r="A235" s="33" t="s">
        <v>50</v>
      </c>
      <c r="B235" s="33" t="s">
        <v>36</v>
      </c>
      <c r="C235" s="33" t="n">
        <v>2022</v>
      </c>
      <c r="D235" s="34" t="n">
        <v>-0.67</v>
      </c>
      <c r="E235" s="34" t="n">
        <v>8.8</v>
      </c>
      <c r="F235" s="34" t="n">
        <v>7.28</v>
      </c>
      <c r="G235" s="35" t="n">
        <v>578.7</v>
      </c>
      <c r="H235" s="35" t="n">
        <v>-103.2</v>
      </c>
      <c r="I235" s="34" t="n">
        <v>40.6</v>
      </c>
      <c r="J235" s="36" t="n">
        <v>0.677</v>
      </c>
      <c r="K235" s="34" t="n">
        <v>0.31</v>
      </c>
      <c r="L235" s="33" t="s">
        <v>30</v>
      </c>
      <c r="M235" s="33" t="s">
        <v>38</v>
      </c>
    </row>
    <row r="236" customFormat="false" ht="15" hidden="false" customHeight="false" outlineLevel="0" collapsed="false">
      <c r="A236" s="29" t="s">
        <v>50</v>
      </c>
      <c r="B236" s="29" t="s">
        <v>36</v>
      </c>
      <c r="C236" s="29" t="n">
        <v>2023</v>
      </c>
      <c r="D236" s="30" t="n">
        <v>-0.24</v>
      </c>
      <c r="E236" s="30" t="n">
        <v>3.9</v>
      </c>
      <c r="F236" s="30" t="n">
        <v>18.25</v>
      </c>
      <c r="G236" s="31" t="n">
        <v>1134.4</v>
      </c>
      <c r="H236" s="31" t="n">
        <v>-272.4</v>
      </c>
      <c r="I236" s="30" t="n">
        <v>48.2</v>
      </c>
      <c r="J236" s="32" t="n">
        <v>0.487</v>
      </c>
      <c r="K236" s="30" t="n">
        <v>2.28</v>
      </c>
      <c r="L236" s="29" t="s">
        <v>30</v>
      </c>
      <c r="M236" s="29" t="s">
        <v>31</v>
      </c>
    </row>
    <row r="237" customFormat="false" ht="15" hidden="false" customHeight="false" outlineLevel="0" collapsed="false">
      <c r="A237" s="33" t="s">
        <v>50</v>
      </c>
      <c r="B237" s="33" t="s">
        <v>36</v>
      </c>
      <c r="C237" s="33" t="n">
        <v>2024</v>
      </c>
      <c r="D237" s="34" t="n">
        <v>2.95</v>
      </c>
      <c r="E237" s="34" t="n">
        <v>4.37</v>
      </c>
      <c r="F237" s="34" t="n">
        <v>12.89</v>
      </c>
      <c r="G237" s="35" t="n">
        <v>563.9</v>
      </c>
      <c r="H237" s="35" t="n">
        <v>1421.8</v>
      </c>
      <c r="I237" s="34" t="n">
        <v>39.8</v>
      </c>
      <c r="J237" s="36" t="n">
        <v>0.824</v>
      </c>
      <c r="K237" s="34" t="n">
        <v>3.45</v>
      </c>
      <c r="L237" s="33" t="s">
        <v>30</v>
      </c>
      <c r="M237" s="33" t="s">
        <v>32</v>
      </c>
    </row>
    <row r="238" customFormat="false" ht="15" hidden="false" customHeight="false" outlineLevel="0" collapsed="false">
      <c r="A238" s="29" t="s">
        <v>50</v>
      </c>
      <c r="B238" s="29" t="s">
        <v>37</v>
      </c>
      <c r="C238" s="29" t="n">
        <v>2021</v>
      </c>
      <c r="D238" s="30" t="n">
        <v>2.35</v>
      </c>
      <c r="E238" s="30" t="n">
        <v>17.05</v>
      </c>
      <c r="F238" s="30" t="n">
        <v>6.8</v>
      </c>
      <c r="G238" s="31" t="n">
        <v>334.7</v>
      </c>
      <c r="H238" s="31" t="n">
        <v>1006.5</v>
      </c>
      <c r="I238" s="30" t="n">
        <v>59.7</v>
      </c>
      <c r="J238" s="32" t="n">
        <v>0.499</v>
      </c>
      <c r="K238" s="30" t="n">
        <v>-0.77</v>
      </c>
      <c r="L238" s="29" t="s">
        <v>34</v>
      </c>
      <c r="M238" s="29" t="s">
        <v>35</v>
      </c>
    </row>
    <row r="239" customFormat="false" ht="15" hidden="false" customHeight="false" outlineLevel="0" collapsed="false">
      <c r="A239" s="33" t="s">
        <v>50</v>
      </c>
      <c r="B239" s="33" t="s">
        <v>37</v>
      </c>
      <c r="C239" s="33" t="n">
        <v>2022</v>
      </c>
      <c r="D239" s="34" t="n">
        <v>1.53</v>
      </c>
      <c r="E239" s="34" t="n">
        <v>15.72</v>
      </c>
      <c r="F239" s="34" t="n">
        <v>12</v>
      </c>
      <c r="G239" s="35" t="n">
        <v>1327.6</v>
      </c>
      <c r="H239" s="35" t="n">
        <v>916.1</v>
      </c>
      <c r="I239" s="34" t="n">
        <v>40.5</v>
      </c>
      <c r="J239" s="36" t="n">
        <v>0.832</v>
      </c>
      <c r="K239" s="34" t="n">
        <v>-0.29</v>
      </c>
      <c r="L239" s="33" t="s">
        <v>34</v>
      </c>
      <c r="M239" s="33" t="s">
        <v>32</v>
      </c>
    </row>
    <row r="240" customFormat="false" ht="15" hidden="false" customHeight="false" outlineLevel="0" collapsed="false">
      <c r="A240" s="29" t="s">
        <v>50</v>
      </c>
      <c r="B240" s="29" t="s">
        <v>37</v>
      </c>
      <c r="C240" s="29" t="n">
        <v>2023</v>
      </c>
      <c r="D240" s="30" t="n">
        <v>2.67</v>
      </c>
      <c r="E240" s="30" t="n">
        <v>7.1</v>
      </c>
      <c r="F240" s="30" t="n">
        <v>20.83</v>
      </c>
      <c r="G240" s="31" t="n">
        <v>535</v>
      </c>
      <c r="H240" s="31" t="n">
        <v>304.6</v>
      </c>
      <c r="I240" s="30" t="n">
        <v>27.4</v>
      </c>
      <c r="J240" s="32" t="n">
        <v>0.842</v>
      </c>
      <c r="K240" s="30" t="n">
        <v>2.47</v>
      </c>
      <c r="L240" s="29" t="s">
        <v>30</v>
      </c>
      <c r="M240" s="29" t="s">
        <v>35</v>
      </c>
    </row>
    <row r="241" customFormat="false" ht="15" hidden="false" customHeight="false" outlineLevel="0" collapsed="false">
      <c r="A241" s="33" t="s">
        <v>50</v>
      </c>
      <c r="B241" s="33" t="s">
        <v>37</v>
      </c>
      <c r="C241" s="33" t="n">
        <v>2024</v>
      </c>
      <c r="D241" s="34" t="n">
        <v>1.87</v>
      </c>
      <c r="E241" s="34" t="n">
        <v>3.65</v>
      </c>
      <c r="F241" s="34" t="n">
        <v>6.92</v>
      </c>
      <c r="G241" s="35" t="n">
        <v>843.2</v>
      </c>
      <c r="H241" s="35" t="n">
        <v>1241.9</v>
      </c>
      <c r="I241" s="34" t="n">
        <v>84.4</v>
      </c>
      <c r="J241" s="36" t="n">
        <v>0.561</v>
      </c>
      <c r="K241" s="34" t="n">
        <v>3.26</v>
      </c>
      <c r="L241" s="33" t="s">
        <v>30</v>
      </c>
      <c r="M241" s="33" t="s">
        <v>31</v>
      </c>
    </row>
    <row r="242" customFormat="false" ht="15" hidden="false" customHeight="false" outlineLevel="0" collapsed="false">
      <c r="A242" s="29" t="s">
        <v>50</v>
      </c>
      <c r="B242" s="29" t="s">
        <v>40</v>
      </c>
      <c r="C242" s="29" t="n">
        <v>2021</v>
      </c>
      <c r="D242" s="30" t="n">
        <v>3.6</v>
      </c>
      <c r="E242" s="30" t="n">
        <v>9.54</v>
      </c>
      <c r="F242" s="30" t="n">
        <v>18.05</v>
      </c>
      <c r="G242" s="31" t="n">
        <v>356.2</v>
      </c>
      <c r="H242" s="31" t="n">
        <v>544.1</v>
      </c>
      <c r="I242" s="30" t="n">
        <v>34.8</v>
      </c>
      <c r="J242" s="32" t="n">
        <v>0.564</v>
      </c>
      <c r="K242" s="30" t="n">
        <v>2.12</v>
      </c>
      <c r="L242" s="29" t="s">
        <v>30</v>
      </c>
      <c r="M242" s="29" t="s">
        <v>38</v>
      </c>
    </row>
    <row r="243" customFormat="false" ht="15" hidden="false" customHeight="false" outlineLevel="0" collapsed="false">
      <c r="A243" s="33" t="s">
        <v>50</v>
      </c>
      <c r="B243" s="33" t="s">
        <v>40</v>
      </c>
      <c r="C243" s="33" t="n">
        <v>2022</v>
      </c>
      <c r="D243" s="34" t="n">
        <v>5.19</v>
      </c>
      <c r="E243" s="34" t="n">
        <v>7.23</v>
      </c>
      <c r="F243" s="34" t="n">
        <v>12.19</v>
      </c>
      <c r="G243" s="35" t="n">
        <v>571.2</v>
      </c>
      <c r="H243" s="35" t="n">
        <v>409.5</v>
      </c>
      <c r="I243" s="34" t="n">
        <v>30.8</v>
      </c>
      <c r="J243" s="36" t="n">
        <v>0.664</v>
      </c>
      <c r="K243" s="34" t="n">
        <v>3.71</v>
      </c>
      <c r="L243" s="33" t="s">
        <v>30</v>
      </c>
      <c r="M243" s="33" t="s">
        <v>35</v>
      </c>
    </row>
    <row r="244" customFormat="false" ht="15" hidden="false" customHeight="false" outlineLevel="0" collapsed="false">
      <c r="A244" s="29" t="s">
        <v>50</v>
      </c>
      <c r="B244" s="29" t="s">
        <v>40</v>
      </c>
      <c r="C244" s="29" t="n">
        <v>2023</v>
      </c>
      <c r="D244" s="30" t="n">
        <v>3.72</v>
      </c>
      <c r="E244" s="30" t="n">
        <v>15.85</v>
      </c>
      <c r="F244" s="30" t="n">
        <v>8.13</v>
      </c>
      <c r="G244" s="31" t="n">
        <v>895.6</v>
      </c>
      <c r="H244" s="31" t="n">
        <v>1319.1</v>
      </c>
      <c r="I244" s="30" t="n">
        <v>82.2</v>
      </c>
      <c r="J244" s="32" t="n">
        <v>0.66</v>
      </c>
      <c r="K244" s="30" t="n">
        <v>0.55</v>
      </c>
      <c r="L244" s="29" t="s">
        <v>34</v>
      </c>
      <c r="M244" s="29" t="s">
        <v>31</v>
      </c>
    </row>
    <row r="245" customFormat="false" ht="15" hidden="false" customHeight="false" outlineLevel="0" collapsed="false">
      <c r="A245" s="33" t="s">
        <v>50</v>
      </c>
      <c r="B245" s="33" t="s">
        <v>40</v>
      </c>
      <c r="C245" s="33" t="n">
        <v>2024</v>
      </c>
      <c r="D245" s="34" t="n">
        <v>4.81</v>
      </c>
      <c r="E245" s="34" t="n">
        <v>5.79</v>
      </c>
      <c r="F245" s="34" t="n">
        <v>8.59</v>
      </c>
      <c r="G245" s="35" t="n">
        <v>1071.7</v>
      </c>
      <c r="H245" s="35" t="n">
        <v>1356.7</v>
      </c>
      <c r="I245" s="34" t="n">
        <v>58.7</v>
      </c>
      <c r="J245" s="36" t="n">
        <v>0.554</v>
      </c>
      <c r="K245" s="34" t="n">
        <v>4.2</v>
      </c>
      <c r="L245" s="33" t="s">
        <v>30</v>
      </c>
      <c r="M245" s="33" t="s">
        <v>32</v>
      </c>
    </row>
    <row r="246" customFormat="false" ht="15" hidden="false" customHeight="false" outlineLevel="0" collapsed="false">
      <c r="A246" s="29" t="s">
        <v>50</v>
      </c>
      <c r="B246" s="29" t="s">
        <v>41</v>
      </c>
      <c r="C246" s="29" t="n">
        <v>2021</v>
      </c>
      <c r="D246" s="30" t="n">
        <v>-1.54</v>
      </c>
      <c r="E246" s="30" t="n">
        <v>13.07</v>
      </c>
      <c r="F246" s="30" t="n">
        <v>17.48</v>
      </c>
      <c r="G246" s="31" t="n">
        <v>106.6</v>
      </c>
      <c r="H246" s="31" t="n">
        <v>-2.7</v>
      </c>
      <c r="I246" s="30" t="n">
        <v>78.1</v>
      </c>
      <c r="J246" s="32" t="n">
        <v>0.809</v>
      </c>
      <c r="K246" s="30" t="n">
        <v>-1.64</v>
      </c>
      <c r="L246" s="29" t="s">
        <v>39</v>
      </c>
      <c r="M246" s="29" t="s">
        <v>31</v>
      </c>
    </row>
    <row r="247" customFormat="false" ht="15" hidden="false" customHeight="false" outlineLevel="0" collapsed="false">
      <c r="A247" s="33" t="s">
        <v>50</v>
      </c>
      <c r="B247" s="33" t="s">
        <v>41</v>
      </c>
      <c r="C247" s="33" t="n">
        <v>2022</v>
      </c>
      <c r="D247" s="34" t="n">
        <v>2.53</v>
      </c>
      <c r="E247" s="34" t="n">
        <v>5.23</v>
      </c>
      <c r="F247" s="34" t="n">
        <v>19.53</v>
      </c>
      <c r="G247" s="35" t="n">
        <v>920.6</v>
      </c>
      <c r="H247" s="35" t="n">
        <v>1464.2</v>
      </c>
      <c r="I247" s="34" t="n">
        <v>24.4</v>
      </c>
      <c r="J247" s="36" t="n">
        <v>0.495</v>
      </c>
      <c r="K247" s="34" t="n">
        <v>3.16</v>
      </c>
      <c r="L247" s="33" t="s">
        <v>30</v>
      </c>
      <c r="M247" s="33" t="s">
        <v>32</v>
      </c>
    </row>
    <row r="248" customFormat="false" ht="15" hidden="false" customHeight="false" outlineLevel="0" collapsed="false">
      <c r="A248" s="29" t="s">
        <v>50</v>
      </c>
      <c r="B248" s="29" t="s">
        <v>41</v>
      </c>
      <c r="C248" s="29" t="n">
        <v>2023</v>
      </c>
      <c r="D248" s="30" t="n">
        <v>3.97</v>
      </c>
      <c r="E248" s="30" t="n">
        <v>11.84</v>
      </c>
      <c r="F248" s="30" t="n">
        <v>8.34</v>
      </c>
      <c r="G248" s="31" t="n">
        <v>1779.8</v>
      </c>
      <c r="H248" s="31" t="n">
        <v>1048.8</v>
      </c>
      <c r="I248" s="30" t="n">
        <v>78.7</v>
      </c>
      <c r="J248" s="32" t="n">
        <v>0.593</v>
      </c>
      <c r="K248" s="30" t="n">
        <v>2.32</v>
      </c>
      <c r="L248" s="29" t="s">
        <v>39</v>
      </c>
      <c r="M248" s="29" t="s">
        <v>38</v>
      </c>
    </row>
    <row r="249" customFormat="false" ht="15" hidden="false" customHeight="false" outlineLevel="0" collapsed="false">
      <c r="A249" s="33" t="s">
        <v>50</v>
      </c>
      <c r="B249" s="33" t="s">
        <v>41</v>
      </c>
      <c r="C249" s="33" t="n">
        <v>2024</v>
      </c>
      <c r="D249" s="34" t="n">
        <v>4.75</v>
      </c>
      <c r="E249" s="34" t="n">
        <v>8.68</v>
      </c>
      <c r="F249" s="34" t="n">
        <v>8.93</v>
      </c>
      <c r="G249" s="35" t="n">
        <v>128.4</v>
      </c>
      <c r="H249" s="35" t="n">
        <v>-395.4</v>
      </c>
      <c r="I249" s="34" t="n">
        <v>59.3</v>
      </c>
      <c r="J249" s="36" t="n">
        <v>0.745</v>
      </c>
      <c r="K249" s="34" t="n">
        <v>2.84</v>
      </c>
      <c r="L249" s="33" t="s">
        <v>30</v>
      </c>
      <c r="M249" s="33" t="s">
        <v>31</v>
      </c>
    </row>
    <row r="250" customFormat="false" ht="15" hidden="false" customHeight="false" outlineLevel="0" collapsed="false">
      <c r="A250" s="29" t="s">
        <v>50</v>
      </c>
      <c r="B250" s="29" t="s">
        <v>42</v>
      </c>
      <c r="C250" s="29" t="n">
        <v>2021</v>
      </c>
      <c r="D250" s="30" t="n">
        <v>5.06</v>
      </c>
      <c r="E250" s="30" t="n">
        <v>12.02</v>
      </c>
      <c r="F250" s="30" t="n">
        <v>18.97</v>
      </c>
      <c r="G250" s="31" t="n">
        <v>1221</v>
      </c>
      <c r="H250" s="31" t="n">
        <v>-93.1</v>
      </c>
      <c r="I250" s="30" t="n">
        <v>20.7</v>
      </c>
      <c r="J250" s="32" t="n">
        <v>0.757</v>
      </c>
      <c r="K250" s="30" t="n">
        <v>2.53</v>
      </c>
      <c r="L250" s="29" t="s">
        <v>39</v>
      </c>
      <c r="M250" s="29" t="s">
        <v>31</v>
      </c>
    </row>
    <row r="251" customFormat="false" ht="15" hidden="false" customHeight="false" outlineLevel="0" collapsed="false">
      <c r="A251" s="33" t="s">
        <v>50</v>
      </c>
      <c r="B251" s="33" t="s">
        <v>42</v>
      </c>
      <c r="C251" s="33" t="n">
        <v>2022</v>
      </c>
      <c r="D251" s="34" t="n">
        <v>7.79</v>
      </c>
      <c r="E251" s="34" t="n">
        <v>5.57</v>
      </c>
      <c r="F251" s="34" t="n">
        <v>10.95</v>
      </c>
      <c r="G251" s="35" t="n">
        <v>235</v>
      </c>
      <c r="H251" s="35" t="n">
        <v>644.7</v>
      </c>
      <c r="I251" s="34" t="n">
        <v>85</v>
      </c>
      <c r="J251" s="36" t="n">
        <v>0.599</v>
      </c>
      <c r="K251" s="34" t="n">
        <v>5.34</v>
      </c>
      <c r="L251" s="33" t="s">
        <v>30</v>
      </c>
      <c r="M251" s="33" t="s">
        <v>31</v>
      </c>
    </row>
    <row r="252" customFormat="false" ht="15" hidden="false" customHeight="false" outlineLevel="0" collapsed="false">
      <c r="A252" s="29" t="s">
        <v>50</v>
      </c>
      <c r="B252" s="29" t="s">
        <v>42</v>
      </c>
      <c r="C252" s="29" t="n">
        <v>2023</v>
      </c>
      <c r="D252" s="30" t="n">
        <v>5.52</v>
      </c>
      <c r="E252" s="30" t="n">
        <v>4.18</v>
      </c>
      <c r="F252" s="30" t="n">
        <v>3.19</v>
      </c>
      <c r="G252" s="31" t="n">
        <v>1652.6</v>
      </c>
      <c r="H252" s="31" t="n">
        <v>1139.2</v>
      </c>
      <c r="I252" s="30" t="n">
        <v>25.3</v>
      </c>
      <c r="J252" s="32" t="n">
        <v>0.711</v>
      </c>
      <c r="K252" s="30" t="n">
        <v>5.33</v>
      </c>
      <c r="L252" s="29" t="s">
        <v>30</v>
      </c>
      <c r="M252" s="29" t="s">
        <v>32</v>
      </c>
    </row>
    <row r="253" customFormat="false" ht="15" hidden="false" customHeight="false" outlineLevel="0" collapsed="false">
      <c r="A253" s="33" t="s">
        <v>50</v>
      </c>
      <c r="B253" s="33" t="s">
        <v>42</v>
      </c>
      <c r="C253" s="33" t="n">
        <v>2024</v>
      </c>
      <c r="D253" s="34" t="n">
        <v>4.34</v>
      </c>
      <c r="E253" s="34" t="n">
        <v>13.22</v>
      </c>
      <c r="F253" s="34" t="n">
        <v>17.31</v>
      </c>
      <c r="G253" s="35" t="n">
        <v>1724.6</v>
      </c>
      <c r="H253" s="35" t="n">
        <v>215</v>
      </c>
      <c r="I253" s="34" t="n">
        <v>57</v>
      </c>
      <c r="J253" s="36" t="n">
        <v>0.709</v>
      </c>
      <c r="K253" s="34" t="n">
        <v>2.07</v>
      </c>
      <c r="L253" s="33" t="s">
        <v>39</v>
      </c>
      <c r="M253" s="33" t="s">
        <v>32</v>
      </c>
    </row>
    <row r="254" customFormat="false" ht="15" hidden="false" customHeight="false" outlineLevel="0" collapsed="false">
      <c r="A254" s="29" t="s">
        <v>50</v>
      </c>
      <c r="B254" s="29" t="s">
        <v>43</v>
      </c>
      <c r="C254" s="29" t="n">
        <v>2021</v>
      </c>
      <c r="D254" s="30" t="n">
        <v>4.68</v>
      </c>
      <c r="E254" s="30" t="n">
        <v>2.67</v>
      </c>
      <c r="F254" s="30" t="n">
        <v>10.58</v>
      </c>
      <c r="G254" s="31" t="n">
        <v>412.1</v>
      </c>
      <c r="H254" s="31" t="n">
        <v>-356.3</v>
      </c>
      <c r="I254" s="30" t="n">
        <v>64.3</v>
      </c>
      <c r="J254" s="32" t="n">
        <v>0.809</v>
      </c>
      <c r="K254" s="30" t="n">
        <v>4.75</v>
      </c>
      <c r="L254" s="29" t="s">
        <v>30</v>
      </c>
      <c r="M254" s="29" t="s">
        <v>35</v>
      </c>
    </row>
    <row r="255" customFormat="false" ht="15" hidden="false" customHeight="false" outlineLevel="0" collapsed="false">
      <c r="A255" s="33" t="s">
        <v>50</v>
      </c>
      <c r="B255" s="33" t="s">
        <v>43</v>
      </c>
      <c r="C255" s="33" t="n">
        <v>2022</v>
      </c>
      <c r="D255" s="34" t="n">
        <v>6.61</v>
      </c>
      <c r="E255" s="34" t="n">
        <v>2.32</v>
      </c>
      <c r="F255" s="34" t="n">
        <v>4.05</v>
      </c>
      <c r="G255" s="35" t="n">
        <v>1115.7</v>
      </c>
      <c r="H255" s="35" t="n">
        <v>82.9</v>
      </c>
      <c r="I255" s="34" t="n">
        <v>54.9</v>
      </c>
      <c r="J255" s="36" t="n">
        <v>0.789</v>
      </c>
      <c r="K255" s="34" t="n">
        <v>6.17</v>
      </c>
      <c r="L255" s="33" t="s">
        <v>30</v>
      </c>
      <c r="M255" s="33" t="s">
        <v>35</v>
      </c>
    </row>
    <row r="256" customFormat="false" ht="15" hidden="false" customHeight="false" outlineLevel="0" collapsed="false">
      <c r="A256" s="29" t="s">
        <v>50</v>
      </c>
      <c r="B256" s="29" t="s">
        <v>43</v>
      </c>
      <c r="C256" s="29" t="n">
        <v>2023</v>
      </c>
      <c r="D256" s="30" t="n">
        <v>4.54</v>
      </c>
      <c r="E256" s="30" t="n">
        <v>16</v>
      </c>
      <c r="F256" s="30" t="n">
        <v>4.82</v>
      </c>
      <c r="G256" s="31" t="n">
        <v>183.6</v>
      </c>
      <c r="H256" s="31" t="n">
        <v>560.3</v>
      </c>
      <c r="I256" s="30" t="n">
        <v>62.3</v>
      </c>
      <c r="J256" s="32" t="n">
        <v>0.86</v>
      </c>
      <c r="K256" s="30" t="n">
        <v>0.56</v>
      </c>
      <c r="L256" s="29" t="s">
        <v>34</v>
      </c>
      <c r="M256" s="29" t="s">
        <v>35</v>
      </c>
    </row>
    <row r="257" customFormat="false" ht="15" hidden="false" customHeight="false" outlineLevel="0" collapsed="false">
      <c r="A257" s="33" t="s">
        <v>50</v>
      </c>
      <c r="B257" s="33" t="s">
        <v>43</v>
      </c>
      <c r="C257" s="33" t="n">
        <v>2024</v>
      </c>
      <c r="D257" s="34" t="n">
        <v>1.55</v>
      </c>
      <c r="E257" s="34" t="n">
        <v>5.2</v>
      </c>
      <c r="F257" s="34" t="n">
        <v>12.72</v>
      </c>
      <c r="G257" s="35" t="n">
        <v>737.1</v>
      </c>
      <c r="H257" s="35" t="n">
        <v>225.1</v>
      </c>
      <c r="I257" s="34" t="n">
        <v>70.3</v>
      </c>
      <c r="J257" s="36" t="n">
        <v>0.826</v>
      </c>
      <c r="K257" s="34" t="n">
        <v>2.58</v>
      </c>
      <c r="L257" s="33" t="s">
        <v>30</v>
      </c>
      <c r="M257" s="33" t="s">
        <v>38</v>
      </c>
    </row>
    <row r="258" customFormat="false" ht="15" hidden="false" customHeight="false" outlineLevel="0" collapsed="false">
      <c r="A258" s="29" t="s">
        <v>51</v>
      </c>
      <c r="B258" s="29" t="s">
        <v>29</v>
      </c>
      <c r="C258" s="29" t="n">
        <v>2021</v>
      </c>
      <c r="D258" s="30" t="n">
        <v>5.11</v>
      </c>
      <c r="E258" s="30" t="n">
        <v>14.64</v>
      </c>
      <c r="F258" s="30" t="n">
        <v>11.17</v>
      </c>
      <c r="G258" s="31" t="n">
        <v>1150.5</v>
      </c>
      <c r="H258" s="31" t="n">
        <v>1013.4</v>
      </c>
      <c r="I258" s="30" t="n">
        <v>69.9</v>
      </c>
      <c r="J258" s="32" t="n">
        <v>0.689</v>
      </c>
      <c r="K258" s="30" t="n">
        <v>1.74</v>
      </c>
      <c r="L258" s="29" t="s">
        <v>39</v>
      </c>
      <c r="M258" s="29" t="s">
        <v>31</v>
      </c>
    </row>
    <row r="259" customFormat="false" ht="15" hidden="false" customHeight="false" outlineLevel="0" collapsed="false">
      <c r="A259" s="33" t="s">
        <v>51</v>
      </c>
      <c r="B259" s="33" t="s">
        <v>29</v>
      </c>
      <c r="C259" s="33" t="n">
        <v>2022</v>
      </c>
      <c r="D259" s="34" t="n">
        <v>5.27</v>
      </c>
      <c r="E259" s="34" t="n">
        <v>13.49</v>
      </c>
      <c r="F259" s="34" t="n">
        <v>15.23</v>
      </c>
      <c r="G259" s="35" t="n">
        <v>1759.3</v>
      </c>
      <c r="H259" s="35" t="n">
        <v>1108.2</v>
      </c>
      <c r="I259" s="34" t="n">
        <v>22.8</v>
      </c>
      <c r="J259" s="36" t="n">
        <v>0.593</v>
      </c>
      <c r="K259" s="34" t="n">
        <v>2.47</v>
      </c>
      <c r="L259" s="33" t="s">
        <v>39</v>
      </c>
      <c r="M259" s="33" t="s">
        <v>35</v>
      </c>
    </row>
    <row r="260" customFormat="false" ht="15" hidden="false" customHeight="false" outlineLevel="0" collapsed="false">
      <c r="A260" s="29" t="s">
        <v>51</v>
      </c>
      <c r="B260" s="29" t="s">
        <v>29</v>
      </c>
      <c r="C260" s="29" t="n">
        <v>2023</v>
      </c>
      <c r="D260" s="30" t="n">
        <v>6.28</v>
      </c>
      <c r="E260" s="30" t="n">
        <v>16.35</v>
      </c>
      <c r="F260" s="30" t="n">
        <v>7.16</v>
      </c>
      <c r="G260" s="31" t="n">
        <v>1322.9</v>
      </c>
      <c r="H260" s="31" t="n">
        <v>47.4</v>
      </c>
      <c r="I260" s="30" t="n">
        <v>26.5</v>
      </c>
      <c r="J260" s="32" t="n">
        <v>0.524</v>
      </c>
      <c r="K260" s="30" t="n">
        <v>1.9</v>
      </c>
      <c r="L260" s="29" t="s">
        <v>34</v>
      </c>
      <c r="M260" s="29" t="s">
        <v>31</v>
      </c>
    </row>
    <row r="261" customFormat="false" ht="15" hidden="false" customHeight="false" outlineLevel="0" collapsed="false">
      <c r="A261" s="33" t="s">
        <v>51</v>
      </c>
      <c r="B261" s="33" t="s">
        <v>29</v>
      </c>
      <c r="C261" s="33" t="n">
        <v>2024</v>
      </c>
      <c r="D261" s="34" t="n">
        <v>6.6</v>
      </c>
      <c r="E261" s="34" t="n">
        <v>11.06</v>
      </c>
      <c r="F261" s="34" t="n">
        <v>13.62</v>
      </c>
      <c r="G261" s="35" t="n">
        <v>906.2</v>
      </c>
      <c r="H261" s="35" t="n">
        <v>-488.3</v>
      </c>
      <c r="I261" s="34" t="n">
        <v>24.5</v>
      </c>
      <c r="J261" s="36" t="n">
        <v>0.608</v>
      </c>
      <c r="K261" s="34" t="n">
        <v>3.44</v>
      </c>
      <c r="L261" s="33" t="s">
        <v>39</v>
      </c>
      <c r="M261" s="33" t="s">
        <v>31</v>
      </c>
    </row>
    <row r="262" customFormat="false" ht="15" hidden="false" customHeight="false" outlineLevel="0" collapsed="false">
      <c r="A262" s="29" t="s">
        <v>51</v>
      </c>
      <c r="B262" s="29" t="s">
        <v>33</v>
      </c>
      <c r="C262" s="29" t="n">
        <v>2021</v>
      </c>
      <c r="D262" s="30" t="n">
        <v>7.84</v>
      </c>
      <c r="E262" s="30" t="n">
        <v>12.51</v>
      </c>
      <c r="F262" s="30" t="n">
        <v>14.63</v>
      </c>
      <c r="G262" s="31" t="n">
        <v>836</v>
      </c>
      <c r="H262" s="31" t="n">
        <v>22.9</v>
      </c>
      <c r="I262" s="30" t="n">
        <v>21.4</v>
      </c>
      <c r="J262" s="32" t="n">
        <v>0.786</v>
      </c>
      <c r="K262" s="30" t="n">
        <v>3.58</v>
      </c>
      <c r="L262" s="29" t="s">
        <v>39</v>
      </c>
      <c r="M262" s="29" t="s">
        <v>38</v>
      </c>
    </row>
    <row r="263" customFormat="false" ht="15" hidden="false" customHeight="false" outlineLevel="0" collapsed="false">
      <c r="A263" s="33" t="s">
        <v>51</v>
      </c>
      <c r="B263" s="33" t="s">
        <v>33</v>
      </c>
      <c r="C263" s="33" t="n">
        <v>2022</v>
      </c>
      <c r="D263" s="34" t="n">
        <v>4.33</v>
      </c>
      <c r="E263" s="34" t="n">
        <v>11.78</v>
      </c>
      <c r="F263" s="34" t="n">
        <v>4.29</v>
      </c>
      <c r="G263" s="35" t="n">
        <v>947.6</v>
      </c>
      <c r="H263" s="35" t="n">
        <v>439.6</v>
      </c>
      <c r="I263" s="34" t="n">
        <v>87.7</v>
      </c>
      <c r="J263" s="36" t="n">
        <v>0.552</v>
      </c>
      <c r="K263" s="34" t="n">
        <v>2.1</v>
      </c>
      <c r="L263" s="33" t="s">
        <v>39</v>
      </c>
      <c r="M263" s="33" t="s">
        <v>35</v>
      </c>
    </row>
    <row r="264" customFormat="false" ht="15" hidden="false" customHeight="false" outlineLevel="0" collapsed="false">
      <c r="A264" s="29" t="s">
        <v>51</v>
      </c>
      <c r="B264" s="29" t="s">
        <v>33</v>
      </c>
      <c r="C264" s="29" t="n">
        <v>2023</v>
      </c>
      <c r="D264" s="30" t="n">
        <v>7.11</v>
      </c>
      <c r="E264" s="30" t="n">
        <v>12.91</v>
      </c>
      <c r="F264" s="30" t="n">
        <v>11.61</v>
      </c>
      <c r="G264" s="31" t="n">
        <v>173.3</v>
      </c>
      <c r="H264" s="31" t="n">
        <v>1356.8</v>
      </c>
      <c r="I264" s="30" t="n">
        <v>76.4</v>
      </c>
      <c r="J264" s="32" t="n">
        <v>0.745</v>
      </c>
      <c r="K264" s="30" t="n">
        <v>2.77</v>
      </c>
      <c r="L264" s="29" t="s">
        <v>39</v>
      </c>
      <c r="M264" s="29" t="s">
        <v>31</v>
      </c>
    </row>
    <row r="265" customFormat="false" ht="15" hidden="false" customHeight="false" outlineLevel="0" collapsed="false">
      <c r="A265" s="33" t="s">
        <v>51</v>
      </c>
      <c r="B265" s="33" t="s">
        <v>33</v>
      </c>
      <c r="C265" s="33" t="n">
        <v>2024</v>
      </c>
      <c r="D265" s="34" t="n">
        <v>5.57</v>
      </c>
      <c r="E265" s="34" t="n">
        <v>15.2</v>
      </c>
      <c r="F265" s="34" t="n">
        <v>14.79</v>
      </c>
      <c r="G265" s="35" t="n">
        <v>729.3</v>
      </c>
      <c r="H265" s="35" t="n">
        <v>-56.8</v>
      </c>
      <c r="I265" s="34" t="n">
        <v>24.7</v>
      </c>
      <c r="J265" s="36" t="n">
        <v>0.676</v>
      </c>
      <c r="K265" s="34" t="n">
        <v>1.59</v>
      </c>
      <c r="L265" s="33" t="s">
        <v>34</v>
      </c>
      <c r="M265" s="33" t="s">
        <v>35</v>
      </c>
    </row>
    <row r="266" customFormat="false" ht="15" hidden="false" customHeight="false" outlineLevel="0" collapsed="false">
      <c r="A266" s="29" t="s">
        <v>51</v>
      </c>
      <c r="B266" s="29" t="s">
        <v>36</v>
      </c>
      <c r="C266" s="29" t="n">
        <v>2021</v>
      </c>
      <c r="D266" s="30" t="n">
        <v>4.35</v>
      </c>
      <c r="E266" s="30" t="n">
        <v>10.94</v>
      </c>
      <c r="F266" s="30" t="n">
        <v>7.04</v>
      </c>
      <c r="G266" s="31" t="n">
        <v>288.5</v>
      </c>
      <c r="H266" s="31" t="n">
        <v>1483.4</v>
      </c>
      <c r="I266" s="30" t="n">
        <v>36.5</v>
      </c>
      <c r="J266" s="32" t="n">
        <v>0.748</v>
      </c>
      <c r="K266" s="30" t="n">
        <v>2.04</v>
      </c>
      <c r="L266" s="29" t="s">
        <v>39</v>
      </c>
      <c r="M266" s="29" t="s">
        <v>32</v>
      </c>
    </row>
    <row r="267" customFormat="false" ht="15" hidden="false" customHeight="false" outlineLevel="0" collapsed="false">
      <c r="A267" s="33" t="s">
        <v>51</v>
      </c>
      <c r="B267" s="33" t="s">
        <v>36</v>
      </c>
      <c r="C267" s="33" t="n">
        <v>2022</v>
      </c>
      <c r="D267" s="34" t="n">
        <v>5.87</v>
      </c>
      <c r="E267" s="34" t="n">
        <v>2.12</v>
      </c>
      <c r="F267" s="34" t="n">
        <v>3.48</v>
      </c>
      <c r="G267" s="35" t="n">
        <v>1880</v>
      </c>
      <c r="H267" s="35" t="n">
        <v>1032</v>
      </c>
      <c r="I267" s="34" t="n">
        <v>31.2</v>
      </c>
      <c r="J267" s="36" t="n">
        <v>0.736</v>
      </c>
      <c r="K267" s="34" t="n">
        <v>6.24</v>
      </c>
      <c r="L267" s="33" t="s">
        <v>30</v>
      </c>
      <c r="M267" s="33" t="s">
        <v>31</v>
      </c>
    </row>
    <row r="268" customFormat="false" ht="15" hidden="false" customHeight="false" outlineLevel="0" collapsed="false">
      <c r="A268" s="29" t="s">
        <v>51</v>
      </c>
      <c r="B268" s="29" t="s">
        <v>36</v>
      </c>
      <c r="C268" s="29" t="n">
        <v>2023</v>
      </c>
      <c r="D268" s="30" t="n">
        <v>0.84</v>
      </c>
      <c r="E268" s="30" t="n">
        <v>6.49</v>
      </c>
      <c r="F268" s="30" t="n">
        <v>3.38</v>
      </c>
      <c r="G268" s="31" t="n">
        <v>1288.5</v>
      </c>
      <c r="H268" s="31" t="n">
        <v>545.4</v>
      </c>
      <c r="I268" s="30" t="n">
        <v>73.8</v>
      </c>
      <c r="J268" s="32" t="n">
        <v>0.781</v>
      </c>
      <c r="K268" s="30" t="n">
        <v>2.12</v>
      </c>
      <c r="L268" s="29" t="s">
        <v>30</v>
      </c>
      <c r="M268" s="29" t="s">
        <v>35</v>
      </c>
    </row>
    <row r="269" customFormat="false" ht="15" hidden="false" customHeight="false" outlineLevel="0" collapsed="false">
      <c r="A269" s="33" t="s">
        <v>51</v>
      </c>
      <c r="B269" s="33" t="s">
        <v>36</v>
      </c>
      <c r="C269" s="33" t="n">
        <v>2024</v>
      </c>
      <c r="D269" s="34" t="n">
        <v>5.63</v>
      </c>
      <c r="E269" s="34" t="n">
        <v>5.2</v>
      </c>
      <c r="F269" s="34" t="n">
        <v>7.48</v>
      </c>
      <c r="G269" s="35" t="n">
        <v>132.6</v>
      </c>
      <c r="H269" s="35" t="n">
        <v>28.2</v>
      </c>
      <c r="I269" s="34" t="n">
        <v>77</v>
      </c>
      <c r="J269" s="36" t="n">
        <v>0.734</v>
      </c>
      <c r="K269" s="34" t="n">
        <v>4.32</v>
      </c>
      <c r="L269" s="33" t="s">
        <v>30</v>
      </c>
      <c r="M269" s="33" t="s">
        <v>38</v>
      </c>
    </row>
    <row r="270" customFormat="false" ht="15" hidden="false" customHeight="false" outlineLevel="0" collapsed="false">
      <c r="A270" s="29" t="s">
        <v>51</v>
      </c>
      <c r="B270" s="29" t="s">
        <v>37</v>
      </c>
      <c r="C270" s="29" t="n">
        <v>2021</v>
      </c>
      <c r="D270" s="30" t="n">
        <v>4.57</v>
      </c>
      <c r="E270" s="30" t="n">
        <v>13.46</v>
      </c>
      <c r="F270" s="30" t="n">
        <v>17.52</v>
      </c>
      <c r="G270" s="31" t="n">
        <v>863.5</v>
      </c>
      <c r="H270" s="31" t="n">
        <v>509.4</v>
      </c>
      <c r="I270" s="30" t="n">
        <v>68.1</v>
      </c>
      <c r="J270" s="32" t="n">
        <v>0.84</v>
      </c>
      <c r="K270" s="30" t="n">
        <v>1.68</v>
      </c>
      <c r="L270" s="29" t="s">
        <v>39</v>
      </c>
      <c r="M270" s="29" t="s">
        <v>31</v>
      </c>
    </row>
    <row r="271" customFormat="false" ht="15" hidden="false" customHeight="false" outlineLevel="0" collapsed="false">
      <c r="A271" s="33" t="s">
        <v>51</v>
      </c>
      <c r="B271" s="33" t="s">
        <v>37</v>
      </c>
      <c r="C271" s="33" t="n">
        <v>2022</v>
      </c>
      <c r="D271" s="34" t="n">
        <v>2.52</v>
      </c>
      <c r="E271" s="34" t="n">
        <v>9.78</v>
      </c>
      <c r="F271" s="34" t="n">
        <v>6.58</v>
      </c>
      <c r="G271" s="35" t="n">
        <v>1544</v>
      </c>
      <c r="H271" s="35" t="n">
        <v>382.1</v>
      </c>
      <c r="I271" s="34" t="n">
        <v>47.3</v>
      </c>
      <c r="J271" s="36" t="n">
        <v>0.542</v>
      </c>
      <c r="K271" s="34" t="n">
        <v>2.1</v>
      </c>
      <c r="L271" s="33" t="s">
        <v>30</v>
      </c>
      <c r="M271" s="33" t="s">
        <v>32</v>
      </c>
    </row>
    <row r="272" customFormat="false" ht="15" hidden="false" customHeight="false" outlineLevel="0" collapsed="false">
      <c r="A272" s="29" t="s">
        <v>51</v>
      </c>
      <c r="B272" s="29" t="s">
        <v>37</v>
      </c>
      <c r="C272" s="29" t="n">
        <v>2023</v>
      </c>
      <c r="D272" s="30" t="n">
        <v>5.59</v>
      </c>
      <c r="E272" s="30" t="n">
        <v>5.6</v>
      </c>
      <c r="F272" s="30" t="n">
        <v>15.02</v>
      </c>
      <c r="G272" s="31" t="n">
        <v>1096.9</v>
      </c>
      <c r="H272" s="31" t="n">
        <v>-144.5</v>
      </c>
      <c r="I272" s="30" t="n">
        <v>37.4</v>
      </c>
      <c r="J272" s="32" t="n">
        <v>0.653</v>
      </c>
      <c r="K272" s="30" t="n">
        <v>4.66</v>
      </c>
      <c r="L272" s="29" t="s">
        <v>30</v>
      </c>
      <c r="M272" s="29" t="s">
        <v>35</v>
      </c>
    </row>
    <row r="273" customFormat="false" ht="15" hidden="false" customHeight="false" outlineLevel="0" collapsed="false">
      <c r="A273" s="33" t="s">
        <v>51</v>
      </c>
      <c r="B273" s="33" t="s">
        <v>37</v>
      </c>
      <c r="C273" s="33" t="n">
        <v>2024</v>
      </c>
      <c r="D273" s="34" t="n">
        <v>-1.99</v>
      </c>
      <c r="E273" s="34" t="n">
        <v>2.92</v>
      </c>
      <c r="F273" s="34" t="n">
        <v>21.47</v>
      </c>
      <c r="G273" s="35" t="n">
        <v>573.7</v>
      </c>
      <c r="H273" s="35" t="n">
        <v>595.6</v>
      </c>
      <c r="I273" s="34" t="n">
        <v>88.8</v>
      </c>
      <c r="J273" s="36" t="n">
        <v>0.723</v>
      </c>
      <c r="K273" s="34" t="n">
        <v>1.42</v>
      </c>
      <c r="L273" s="33" t="s">
        <v>30</v>
      </c>
      <c r="M273" s="33" t="s">
        <v>35</v>
      </c>
    </row>
    <row r="274" customFormat="false" ht="15" hidden="false" customHeight="false" outlineLevel="0" collapsed="false">
      <c r="A274" s="29" t="s">
        <v>51</v>
      </c>
      <c r="B274" s="29" t="s">
        <v>40</v>
      </c>
      <c r="C274" s="29" t="n">
        <v>2021</v>
      </c>
      <c r="D274" s="30" t="n">
        <v>4.38</v>
      </c>
      <c r="E274" s="30" t="n">
        <v>8.07</v>
      </c>
      <c r="F274" s="30" t="n">
        <v>10.84</v>
      </c>
      <c r="G274" s="31" t="n">
        <v>76.9</v>
      </c>
      <c r="H274" s="31" t="n">
        <v>888.1</v>
      </c>
      <c r="I274" s="30" t="n">
        <v>27.5</v>
      </c>
      <c r="J274" s="32" t="n">
        <v>0.668</v>
      </c>
      <c r="K274" s="30" t="n">
        <v>2.81</v>
      </c>
      <c r="L274" s="29" t="s">
        <v>30</v>
      </c>
      <c r="M274" s="29" t="s">
        <v>38</v>
      </c>
    </row>
    <row r="275" customFormat="false" ht="15" hidden="false" customHeight="false" outlineLevel="0" collapsed="false">
      <c r="A275" s="33" t="s">
        <v>51</v>
      </c>
      <c r="B275" s="33" t="s">
        <v>40</v>
      </c>
      <c r="C275" s="33" t="n">
        <v>2022</v>
      </c>
      <c r="D275" s="34" t="n">
        <v>-1</v>
      </c>
      <c r="E275" s="34" t="n">
        <v>3.33</v>
      </c>
      <c r="F275" s="34" t="n">
        <v>8.66</v>
      </c>
      <c r="G275" s="35" t="n">
        <v>1688.8</v>
      </c>
      <c r="H275" s="35" t="n">
        <v>-314.7</v>
      </c>
      <c r="I275" s="34" t="n">
        <v>82.1</v>
      </c>
      <c r="J275" s="36" t="n">
        <v>0.585</v>
      </c>
      <c r="K275" s="34" t="n">
        <v>2.35</v>
      </c>
      <c r="L275" s="33" t="s">
        <v>30</v>
      </c>
      <c r="M275" s="33" t="s">
        <v>31</v>
      </c>
    </row>
    <row r="276" customFormat="false" ht="15" hidden="false" customHeight="false" outlineLevel="0" collapsed="false">
      <c r="A276" s="29" t="s">
        <v>51</v>
      </c>
      <c r="B276" s="29" t="s">
        <v>40</v>
      </c>
      <c r="C276" s="29" t="n">
        <v>2023</v>
      </c>
      <c r="D276" s="30" t="n">
        <v>1.45</v>
      </c>
      <c r="E276" s="30" t="n">
        <v>14.42</v>
      </c>
      <c r="F276" s="30" t="n">
        <v>12.87</v>
      </c>
      <c r="G276" s="31" t="n">
        <v>923.5</v>
      </c>
      <c r="H276" s="31" t="n">
        <v>1189.9</v>
      </c>
      <c r="I276" s="30" t="n">
        <v>70.9</v>
      </c>
      <c r="J276" s="32" t="n">
        <v>0.808</v>
      </c>
      <c r="K276" s="30" t="n">
        <v>-0.14</v>
      </c>
      <c r="L276" s="29" t="s">
        <v>39</v>
      </c>
      <c r="M276" s="29" t="s">
        <v>38</v>
      </c>
    </row>
    <row r="277" customFormat="false" ht="15" hidden="false" customHeight="false" outlineLevel="0" collapsed="false">
      <c r="A277" s="33" t="s">
        <v>51</v>
      </c>
      <c r="B277" s="33" t="s">
        <v>40</v>
      </c>
      <c r="C277" s="33" t="n">
        <v>2024</v>
      </c>
      <c r="D277" s="34" t="n">
        <v>0.83</v>
      </c>
      <c r="E277" s="34" t="n">
        <v>15.59</v>
      </c>
      <c r="F277" s="34" t="n">
        <v>3.36</v>
      </c>
      <c r="G277" s="35" t="n">
        <v>1881.9</v>
      </c>
      <c r="H277" s="35" t="n">
        <v>-65.2</v>
      </c>
      <c r="I277" s="34" t="n">
        <v>82.1</v>
      </c>
      <c r="J277" s="36" t="n">
        <v>0.765</v>
      </c>
      <c r="K277" s="34" t="n">
        <v>-0.32</v>
      </c>
      <c r="L277" s="33" t="s">
        <v>34</v>
      </c>
      <c r="M277" s="33" t="s">
        <v>38</v>
      </c>
    </row>
    <row r="278" customFormat="false" ht="15" hidden="false" customHeight="false" outlineLevel="0" collapsed="false">
      <c r="A278" s="29" t="s">
        <v>51</v>
      </c>
      <c r="B278" s="29" t="s">
        <v>41</v>
      </c>
      <c r="C278" s="29" t="n">
        <v>2021</v>
      </c>
      <c r="D278" s="30" t="n">
        <v>-1.36</v>
      </c>
      <c r="E278" s="30" t="n">
        <v>2.5</v>
      </c>
      <c r="F278" s="30" t="n">
        <v>13.27</v>
      </c>
      <c r="G278" s="31" t="n">
        <v>802.9</v>
      </c>
      <c r="H278" s="31" t="n">
        <v>1303.1</v>
      </c>
      <c r="I278" s="30" t="n">
        <v>24.4</v>
      </c>
      <c r="J278" s="32" t="n">
        <v>0.712</v>
      </c>
      <c r="K278" s="30" t="n">
        <v>1.97</v>
      </c>
      <c r="L278" s="29" t="s">
        <v>30</v>
      </c>
      <c r="M278" s="29" t="s">
        <v>32</v>
      </c>
    </row>
    <row r="279" customFormat="false" ht="15" hidden="false" customHeight="false" outlineLevel="0" collapsed="false">
      <c r="A279" s="33" t="s">
        <v>51</v>
      </c>
      <c r="B279" s="33" t="s">
        <v>41</v>
      </c>
      <c r="C279" s="33" t="n">
        <v>2022</v>
      </c>
      <c r="D279" s="34" t="n">
        <v>-0.4</v>
      </c>
      <c r="E279" s="34" t="n">
        <v>2.14</v>
      </c>
      <c r="F279" s="34" t="n">
        <v>10.05</v>
      </c>
      <c r="G279" s="35" t="n">
        <v>1474.4</v>
      </c>
      <c r="H279" s="35" t="n">
        <v>1396.3</v>
      </c>
      <c r="I279" s="34" t="n">
        <v>54.8</v>
      </c>
      <c r="J279" s="36" t="n">
        <v>0.852</v>
      </c>
      <c r="K279" s="34" t="n">
        <v>2.9</v>
      </c>
      <c r="L279" s="33" t="s">
        <v>30</v>
      </c>
      <c r="M279" s="33" t="s">
        <v>32</v>
      </c>
    </row>
    <row r="280" customFormat="false" ht="15" hidden="false" customHeight="false" outlineLevel="0" collapsed="false">
      <c r="A280" s="29" t="s">
        <v>51</v>
      </c>
      <c r="B280" s="29" t="s">
        <v>41</v>
      </c>
      <c r="C280" s="29" t="n">
        <v>2023</v>
      </c>
      <c r="D280" s="30" t="n">
        <v>6.73</v>
      </c>
      <c r="E280" s="30" t="n">
        <v>2.28</v>
      </c>
      <c r="F280" s="30" t="n">
        <v>10.69</v>
      </c>
      <c r="G280" s="31" t="n">
        <v>1466.8</v>
      </c>
      <c r="H280" s="31" t="n">
        <v>-25.5</v>
      </c>
      <c r="I280" s="30" t="n">
        <v>25.6</v>
      </c>
      <c r="J280" s="32" t="n">
        <v>0.838</v>
      </c>
      <c r="K280" s="30" t="n">
        <v>6.41</v>
      </c>
      <c r="L280" s="29" t="s">
        <v>30</v>
      </c>
      <c r="M280" s="29" t="s">
        <v>38</v>
      </c>
    </row>
    <row r="281" customFormat="false" ht="15" hidden="false" customHeight="false" outlineLevel="0" collapsed="false">
      <c r="A281" s="33" t="s">
        <v>51</v>
      </c>
      <c r="B281" s="33" t="s">
        <v>41</v>
      </c>
      <c r="C281" s="33" t="n">
        <v>2024</v>
      </c>
      <c r="D281" s="34" t="n">
        <v>-0.48</v>
      </c>
      <c r="E281" s="34" t="n">
        <v>2.33</v>
      </c>
      <c r="F281" s="34" t="n">
        <v>18.89</v>
      </c>
      <c r="G281" s="35" t="n">
        <v>1025.6</v>
      </c>
      <c r="H281" s="35" t="n">
        <v>1076.9</v>
      </c>
      <c r="I281" s="34" t="n">
        <v>80.1</v>
      </c>
      <c r="J281" s="36" t="n">
        <v>0.831</v>
      </c>
      <c r="K281" s="34" t="n">
        <v>2.57</v>
      </c>
      <c r="L281" s="33" t="s">
        <v>30</v>
      </c>
      <c r="M281" s="33" t="s">
        <v>38</v>
      </c>
    </row>
    <row r="282" customFormat="false" ht="15" hidden="false" customHeight="false" outlineLevel="0" collapsed="false">
      <c r="A282" s="29" t="s">
        <v>51</v>
      </c>
      <c r="B282" s="29" t="s">
        <v>42</v>
      </c>
      <c r="C282" s="29" t="n">
        <v>2021</v>
      </c>
      <c r="D282" s="30" t="n">
        <v>0.01</v>
      </c>
      <c r="E282" s="30" t="n">
        <v>5.02</v>
      </c>
      <c r="F282" s="30" t="n">
        <v>8.02</v>
      </c>
      <c r="G282" s="31" t="n">
        <v>878.4</v>
      </c>
      <c r="H282" s="31" t="n">
        <v>453.9</v>
      </c>
      <c r="I282" s="30" t="n">
        <v>56.3</v>
      </c>
      <c r="J282" s="32" t="n">
        <v>0.528</v>
      </c>
      <c r="K282" s="30" t="n">
        <v>1.94</v>
      </c>
      <c r="L282" s="29" t="s">
        <v>30</v>
      </c>
      <c r="M282" s="29" t="s">
        <v>35</v>
      </c>
    </row>
    <row r="283" customFormat="false" ht="15" hidden="false" customHeight="false" outlineLevel="0" collapsed="false">
      <c r="A283" s="33" t="s">
        <v>51</v>
      </c>
      <c r="B283" s="33" t="s">
        <v>42</v>
      </c>
      <c r="C283" s="33" t="n">
        <v>2022</v>
      </c>
      <c r="D283" s="34" t="n">
        <v>4.84</v>
      </c>
      <c r="E283" s="34" t="n">
        <v>10.17</v>
      </c>
      <c r="F283" s="34" t="n">
        <v>9.06</v>
      </c>
      <c r="G283" s="35" t="n">
        <v>1149</v>
      </c>
      <c r="H283" s="35" t="n">
        <v>379.2</v>
      </c>
      <c r="I283" s="34" t="n">
        <v>83.1</v>
      </c>
      <c r="J283" s="36" t="n">
        <v>0.591</v>
      </c>
      <c r="K283" s="34" t="n">
        <v>2.94</v>
      </c>
      <c r="L283" s="33" t="s">
        <v>39</v>
      </c>
      <c r="M283" s="33" t="s">
        <v>31</v>
      </c>
    </row>
    <row r="284" customFormat="false" ht="15" hidden="false" customHeight="false" outlineLevel="0" collapsed="false">
      <c r="A284" s="29" t="s">
        <v>51</v>
      </c>
      <c r="B284" s="29" t="s">
        <v>42</v>
      </c>
      <c r="C284" s="29" t="n">
        <v>2023</v>
      </c>
      <c r="D284" s="30" t="n">
        <v>5.32</v>
      </c>
      <c r="E284" s="30" t="n">
        <v>16.99</v>
      </c>
      <c r="F284" s="30" t="n">
        <v>11.68</v>
      </c>
      <c r="G284" s="31" t="n">
        <v>268.6</v>
      </c>
      <c r="H284" s="31" t="n">
        <v>1470.6</v>
      </c>
      <c r="I284" s="30" t="n">
        <v>57.3</v>
      </c>
      <c r="J284" s="32" t="n">
        <v>0.469</v>
      </c>
      <c r="K284" s="30" t="n">
        <v>0.7</v>
      </c>
      <c r="L284" s="29" t="s">
        <v>34</v>
      </c>
      <c r="M284" s="29" t="s">
        <v>32</v>
      </c>
    </row>
    <row r="285" customFormat="false" ht="15" hidden="false" customHeight="false" outlineLevel="0" collapsed="false">
      <c r="A285" s="33" t="s">
        <v>51</v>
      </c>
      <c r="B285" s="33" t="s">
        <v>42</v>
      </c>
      <c r="C285" s="33" t="n">
        <v>2024</v>
      </c>
      <c r="D285" s="34" t="n">
        <v>5.15</v>
      </c>
      <c r="E285" s="34" t="n">
        <v>5.74</v>
      </c>
      <c r="F285" s="34" t="n">
        <v>17.1</v>
      </c>
      <c r="G285" s="35" t="n">
        <v>636.4</v>
      </c>
      <c r="H285" s="35" t="n">
        <v>533.9</v>
      </c>
      <c r="I285" s="34" t="n">
        <v>76.9</v>
      </c>
      <c r="J285" s="36" t="n">
        <v>0.823</v>
      </c>
      <c r="K285" s="34" t="n">
        <v>4.17</v>
      </c>
      <c r="L285" s="33" t="s">
        <v>30</v>
      </c>
      <c r="M285" s="33" t="s">
        <v>35</v>
      </c>
    </row>
    <row r="286" customFormat="false" ht="15" hidden="false" customHeight="false" outlineLevel="0" collapsed="false">
      <c r="A286" s="29" t="s">
        <v>51</v>
      </c>
      <c r="B286" s="29" t="s">
        <v>43</v>
      </c>
      <c r="C286" s="29" t="n">
        <v>2021</v>
      </c>
      <c r="D286" s="30" t="n">
        <v>6.78</v>
      </c>
      <c r="E286" s="30" t="n">
        <v>15.7</v>
      </c>
      <c r="F286" s="30" t="n">
        <v>19.69</v>
      </c>
      <c r="G286" s="31" t="n">
        <v>737.2</v>
      </c>
      <c r="H286" s="31" t="n">
        <v>1189.5</v>
      </c>
      <c r="I286" s="30" t="n">
        <v>47</v>
      </c>
      <c r="J286" s="32" t="n">
        <v>0.679</v>
      </c>
      <c r="K286" s="30" t="n">
        <v>2.05</v>
      </c>
      <c r="L286" s="29" t="s">
        <v>34</v>
      </c>
      <c r="M286" s="29" t="s">
        <v>38</v>
      </c>
    </row>
    <row r="287" customFormat="false" ht="15" hidden="false" customHeight="false" outlineLevel="0" collapsed="false">
      <c r="A287" s="33" t="s">
        <v>51</v>
      </c>
      <c r="B287" s="33" t="s">
        <v>43</v>
      </c>
      <c r="C287" s="33" t="n">
        <v>2022</v>
      </c>
      <c r="D287" s="34" t="n">
        <v>1.61</v>
      </c>
      <c r="E287" s="34" t="n">
        <v>9.69</v>
      </c>
      <c r="F287" s="34" t="n">
        <v>21.79</v>
      </c>
      <c r="G287" s="35" t="n">
        <v>1068.9</v>
      </c>
      <c r="H287" s="35" t="n">
        <v>1280.6</v>
      </c>
      <c r="I287" s="34" t="n">
        <v>21.5</v>
      </c>
      <c r="J287" s="36" t="n">
        <v>0.868</v>
      </c>
      <c r="K287" s="34" t="n">
        <v>1.43</v>
      </c>
      <c r="L287" s="33" t="s">
        <v>30</v>
      </c>
      <c r="M287" s="33" t="s">
        <v>32</v>
      </c>
    </row>
    <row r="288" customFormat="false" ht="15" hidden="false" customHeight="false" outlineLevel="0" collapsed="false">
      <c r="A288" s="29" t="s">
        <v>51</v>
      </c>
      <c r="B288" s="29" t="s">
        <v>43</v>
      </c>
      <c r="C288" s="29" t="n">
        <v>2023</v>
      </c>
      <c r="D288" s="30" t="n">
        <v>6.25</v>
      </c>
      <c r="E288" s="30" t="n">
        <v>8.02</v>
      </c>
      <c r="F288" s="30" t="n">
        <v>9.33</v>
      </c>
      <c r="G288" s="31" t="n">
        <v>384.8</v>
      </c>
      <c r="H288" s="31" t="n">
        <v>1379.4</v>
      </c>
      <c r="I288" s="30" t="n">
        <v>74</v>
      </c>
      <c r="J288" s="32" t="n">
        <v>0.616</v>
      </c>
      <c r="K288" s="30" t="n">
        <v>3.91</v>
      </c>
      <c r="L288" s="29" t="s">
        <v>30</v>
      </c>
      <c r="M288" s="29" t="s">
        <v>38</v>
      </c>
    </row>
    <row r="289" customFormat="false" ht="15" hidden="false" customHeight="false" outlineLevel="0" collapsed="false">
      <c r="A289" s="33" t="s">
        <v>51</v>
      </c>
      <c r="B289" s="33" t="s">
        <v>43</v>
      </c>
      <c r="C289" s="33" t="n">
        <v>2024</v>
      </c>
      <c r="D289" s="34" t="n">
        <v>-1.58</v>
      </c>
      <c r="E289" s="34" t="n">
        <v>8.22</v>
      </c>
      <c r="F289" s="34" t="n">
        <v>10.85</v>
      </c>
      <c r="G289" s="35" t="n">
        <v>671.9</v>
      </c>
      <c r="H289" s="35" t="n">
        <v>1267.7</v>
      </c>
      <c r="I289" s="34" t="n">
        <v>71.5</v>
      </c>
      <c r="J289" s="36" t="n">
        <v>0.701</v>
      </c>
      <c r="K289" s="34" t="n">
        <v>0.08</v>
      </c>
      <c r="L289" s="33" t="s">
        <v>30</v>
      </c>
      <c r="M289" s="33" t="s">
        <v>38</v>
      </c>
    </row>
    <row r="290" customFormat="false" ht="15" hidden="false" customHeight="false" outlineLevel="0" collapsed="false">
      <c r="A290" s="29" t="s">
        <v>52</v>
      </c>
      <c r="B290" s="29" t="s">
        <v>29</v>
      </c>
      <c r="C290" s="29" t="n">
        <v>2021</v>
      </c>
      <c r="D290" s="30" t="n">
        <v>0.3</v>
      </c>
      <c r="E290" s="30" t="n">
        <v>7.9</v>
      </c>
      <c r="F290" s="30" t="n">
        <v>3.36</v>
      </c>
      <c r="G290" s="31" t="n">
        <v>1735.7</v>
      </c>
      <c r="H290" s="31" t="n">
        <v>-55.2</v>
      </c>
      <c r="I290" s="30" t="n">
        <v>24</v>
      </c>
      <c r="J290" s="32" t="n">
        <v>0.621</v>
      </c>
      <c r="K290" s="30" t="n">
        <v>1.65</v>
      </c>
      <c r="L290" s="29" t="s">
        <v>30</v>
      </c>
      <c r="M290" s="29" t="s">
        <v>32</v>
      </c>
    </row>
    <row r="291" customFormat="false" ht="15" hidden="false" customHeight="false" outlineLevel="0" collapsed="false">
      <c r="A291" s="33" t="s">
        <v>52</v>
      </c>
      <c r="B291" s="33" t="s">
        <v>29</v>
      </c>
      <c r="C291" s="33" t="n">
        <v>2022</v>
      </c>
      <c r="D291" s="34" t="n">
        <v>2.33</v>
      </c>
      <c r="E291" s="34" t="n">
        <v>9.36</v>
      </c>
      <c r="F291" s="34" t="n">
        <v>10.09</v>
      </c>
      <c r="G291" s="35" t="n">
        <v>1035.3</v>
      </c>
      <c r="H291" s="35" t="n">
        <v>478.8</v>
      </c>
      <c r="I291" s="34" t="n">
        <v>36.5</v>
      </c>
      <c r="J291" s="36" t="n">
        <v>0.752</v>
      </c>
      <c r="K291" s="34" t="n">
        <v>1.87</v>
      </c>
      <c r="L291" s="33" t="s">
        <v>30</v>
      </c>
      <c r="M291" s="33" t="s">
        <v>31</v>
      </c>
    </row>
    <row r="292" customFormat="false" ht="15" hidden="false" customHeight="false" outlineLevel="0" collapsed="false">
      <c r="A292" s="29" t="s">
        <v>52</v>
      </c>
      <c r="B292" s="29" t="s">
        <v>29</v>
      </c>
      <c r="C292" s="29" t="n">
        <v>2023</v>
      </c>
      <c r="D292" s="30" t="n">
        <v>4.13</v>
      </c>
      <c r="E292" s="30" t="n">
        <v>14.44</v>
      </c>
      <c r="F292" s="30" t="n">
        <v>19.86</v>
      </c>
      <c r="G292" s="31" t="n">
        <v>1649.1</v>
      </c>
      <c r="H292" s="31" t="n">
        <v>-248</v>
      </c>
      <c r="I292" s="30" t="n">
        <v>62</v>
      </c>
      <c r="J292" s="32" t="n">
        <v>0.498</v>
      </c>
      <c r="K292" s="30" t="n">
        <v>1.56</v>
      </c>
      <c r="L292" s="29" t="s">
        <v>39</v>
      </c>
      <c r="M292" s="29" t="s">
        <v>35</v>
      </c>
    </row>
    <row r="293" customFormat="false" ht="15" hidden="false" customHeight="false" outlineLevel="0" collapsed="false">
      <c r="A293" s="33" t="s">
        <v>52</v>
      </c>
      <c r="B293" s="33" t="s">
        <v>29</v>
      </c>
      <c r="C293" s="33" t="n">
        <v>2024</v>
      </c>
      <c r="D293" s="34" t="n">
        <v>4.44</v>
      </c>
      <c r="E293" s="34" t="n">
        <v>10.6</v>
      </c>
      <c r="F293" s="34" t="n">
        <v>13.12</v>
      </c>
      <c r="G293" s="35" t="n">
        <v>636.4</v>
      </c>
      <c r="H293" s="35" t="n">
        <v>116.5</v>
      </c>
      <c r="I293" s="34" t="n">
        <v>49.6</v>
      </c>
      <c r="J293" s="36" t="n">
        <v>0.472</v>
      </c>
      <c r="K293" s="34" t="n">
        <v>2.36</v>
      </c>
      <c r="L293" s="33" t="s">
        <v>39</v>
      </c>
      <c r="M293" s="33" t="s">
        <v>31</v>
      </c>
    </row>
    <row r="294" customFormat="false" ht="15" hidden="false" customHeight="false" outlineLevel="0" collapsed="false">
      <c r="A294" s="29" t="s">
        <v>52</v>
      </c>
      <c r="B294" s="29" t="s">
        <v>33</v>
      </c>
      <c r="C294" s="29" t="n">
        <v>2021</v>
      </c>
      <c r="D294" s="30" t="n">
        <v>7.08</v>
      </c>
      <c r="E294" s="30" t="n">
        <v>12.72</v>
      </c>
      <c r="F294" s="30" t="n">
        <v>13.79</v>
      </c>
      <c r="G294" s="31" t="n">
        <v>1840.3</v>
      </c>
      <c r="H294" s="31" t="n">
        <v>-95.6</v>
      </c>
      <c r="I294" s="30" t="n">
        <v>68.5</v>
      </c>
      <c r="J294" s="32" t="n">
        <v>0.638</v>
      </c>
      <c r="K294" s="30" t="n">
        <v>3.64</v>
      </c>
      <c r="L294" s="29" t="s">
        <v>39</v>
      </c>
      <c r="M294" s="29" t="s">
        <v>32</v>
      </c>
    </row>
    <row r="295" customFormat="false" ht="15" hidden="false" customHeight="false" outlineLevel="0" collapsed="false">
      <c r="A295" s="33" t="s">
        <v>52</v>
      </c>
      <c r="B295" s="33" t="s">
        <v>33</v>
      </c>
      <c r="C295" s="33" t="n">
        <v>2022</v>
      </c>
      <c r="D295" s="34" t="n">
        <v>0.05</v>
      </c>
      <c r="E295" s="34" t="n">
        <v>5.84</v>
      </c>
      <c r="F295" s="34" t="n">
        <v>11.06</v>
      </c>
      <c r="G295" s="35" t="n">
        <v>228.8</v>
      </c>
      <c r="H295" s="35" t="n">
        <v>1426.7</v>
      </c>
      <c r="I295" s="34" t="n">
        <v>25.2</v>
      </c>
      <c r="J295" s="36" t="n">
        <v>0.744</v>
      </c>
      <c r="K295" s="34" t="n">
        <v>1.39</v>
      </c>
      <c r="L295" s="33" t="s">
        <v>30</v>
      </c>
      <c r="M295" s="33" t="s">
        <v>32</v>
      </c>
    </row>
    <row r="296" customFormat="false" ht="15" hidden="false" customHeight="false" outlineLevel="0" collapsed="false">
      <c r="A296" s="29" t="s">
        <v>52</v>
      </c>
      <c r="B296" s="29" t="s">
        <v>33</v>
      </c>
      <c r="C296" s="29" t="n">
        <v>2023</v>
      </c>
      <c r="D296" s="30" t="n">
        <v>6.67</v>
      </c>
      <c r="E296" s="30" t="n">
        <v>17.83</v>
      </c>
      <c r="F296" s="30" t="n">
        <v>5.96</v>
      </c>
      <c r="G296" s="31" t="n">
        <v>1514</v>
      </c>
      <c r="H296" s="31" t="n">
        <v>950.7</v>
      </c>
      <c r="I296" s="30" t="n">
        <v>86.5</v>
      </c>
      <c r="J296" s="32" t="n">
        <v>0.856</v>
      </c>
      <c r="K296" s="30" t="n">
        <v>1.74</v>
      </c>
      <c r="L296" s="29" t="s">
        <v>34</v>
      </c>
      <c r="M296" s="29" t="s">
        <v>31</v>
      </c>
    </row>
    <row r="297" customFormat="false" ht="15" hidden="false" customHeight="false" outlineLevel="0" collapsed="false">
      <c r="A297" s="33" t="s">
        <v>52</v>
      </c>
      <c r="B297" s="33" t="s">
        <v>33</v>
      </c>
      <c r="C297" s="33" t="n">
        <v>2024</v>
      </c>
      <c r="D297" s="34" t="n">
        <v>5.15</v>
      </c>
      <c r="E297" s="34" t="n">
        <v>7.42</v>
      </c>
      <c r="F297" s="34" t="n">
        <v>16.71</v>
      </c>
      <c r="G297" s="35" t="n">
        <v>1115.8</v>
      </c>
      <c r="H297" s="35" t="n">
        <v>-126</v>
      </c>
      <c r="I297" s="34" t="n">
        <v>39.7</v>
      </c>
      <c r="J297" s="36" t="n">
        <v>0.788</v>
      </c>
      <c r="K297" s="34" t="n">
        <v>3.91</v>
      </c>
      <c r="L297" s="33" t="s">
        <v>30</v>
      </c>
      <c r="M297" s="33" t="s">
        <v>32</v>
      </c>
    </row>
    <row r="298" customFormat="false" ht="15" hidden="false" customHeight="false" outlineLevel="0" collapsed="false">
      <c r="A298" s="29" t="s">
        <v>52</v>
      </c>
      <c r="B298" s="29" t="s">
        <v>36</v>
      </c>
      <c r="C298" s="29" t="n">
        <v>2021</v>
      </c>
      <c r="D298" s="30" t="n">
        <v>4.89</v>
      </c>
      <c r="E298" s="30" t="n">
        <v>8.41</v>
      </c>
      <c r="F298" s="30" t="n">
        <v>18.53</v>
      </c>
      <c r="G298" s="31" t="n">
        <v>1018.1</v>
      </c>
      <c r="H298" s="31" t="n">
        <v>-192.4</v>
      </c>
      <c r="I298" s="30" t="n">
        <v>48.6</v>
      </c>
      <c r="J298" s="32" t="n">
        <v>0.782</v>
      </c>
      <c r="K298" s="30" t="n">
        <v>3.43</v>
      </c>
      <c r="L298" s="29" t="s">
        <v>30</v>
      </c>
      <c r="M298" s="29" t="s">
        <v>31</v>
      </c>
    </row>
    <row r="299" customFormat="false" ht="15" hidden="false" customHeight="false" outlineLevel="0" collapsed="false">
      <c r="A299" s="33" t="s">
        <v>52</v>
      </c>
      <c r="B299" s="33" t="s">
        <v>36</v>
      </c>
      <c r="C299" s="33" t="n">
        <v>2022</v>
      </c>
      <c r="D299" s="34" t="n">
        <v>-0.01</v>
      </c>
      <c r="E299" s="34" t="n">
        <v>17.16</v>
      </c>
      <c r="F299" s="34" t="n">
        <v>14.36</v>
      </c>
      <c r="G299" s="35" t="n">
        <v>1064.4</v>
      </c>
      <c r="H299" s="35" t="n">
        <v>-26</v>
      </c>
      <c r="I299" s="34" t="n">
        <v>40.2</v>
      </c>
      <c r="J299" s="36" t="n">
        <v>0.737</v>
      </c>
      <c r="K299" s="34" t="n">
        <v>-1.62</v>
      </c>
      <c r="L299" s="33" t="s">
        <v>34</v>
      </c>
      <c r="M299" s="33" t="s">
        <v>31</v>
      </c>
    </row>
    <row r="300" customFormat="false" ht="15" hidden="false" customHeight="false" outlineLevel="0" collapsed="false">
      <c r="A300" s="29" t="s">
        <v>52</v>
      </c>
      <c r="B300" s="29" t="s">
        <v>36</v>
      </c>
      <c r="C300" s="29" t="n">
        <v>2023</v>
      </c>
      <c r="D300" s="30" t="n">
        <v>2.61</v>
      </c>
      <c r="E300" s="30" t="n">
        <v>15.63</v>
      </c>
      <c r="F300" s="30" t="n">
        <v>3.97</v>
      </c>
      <c r="G300" s="31" t="n">
        <v>455.8</v>
      </c>
      <c r="H300" s="31" t="n">
        <v>992.2</v>
      </c>
      <c r="I300" s="30" t="n">
        <v>23.2</v>
      </c>
      <c r="J300" s="32" t="n">
        <v>0.691</v>
      </c>
      <c r="K300" s="30" t="n">
        <v>-0.16</v>
      </c>
      <c r="L300" s="29" t="s">
        <v>34</v>
      </c>
      <c r="M300" s="29" t="s">
        <v>32</v>
      </c>
    </row>
    <row r="301" customFormat="false" ht="15" hidden="false" customHeight="false" outlineLevel="0" collapsed="false">
      <c r="A301" s="33" t="s">
        <v>52</v>
      </c>
      <c r="B301" s="33" t="s">
        <v>36</v>
      </c>
      <c r="C301" s="33" t="n">
        <v>2024</v>
      </c>
      <c r="D301" s="34" t="n">
        <v>3.84</v>
      </c>
      <c r="E301" s="34" t="n">
        <v>5.84</v>
      </c>
      <c r="F301" s="34" t="n">
        <v>9.32</v>
      </c>
      <c r="G301" s="35" t="n">
        <v>1353.4</v>
      </c>
      <c r="H301" s="35" t="n">
        <v>883.4</v>
      </c>
      <c r="I301" s="34" t="n">
        <v>63.2</v>
      </c>
      <c r="J301" s="36" t="n">
        <v>0.574</v>
      </c>
      <c r="K301" s="34" t="n">
        <v>3.84</v>
      </c>
      <c r="L301" s="33" t="s">
        <v>30</v>
      </c>
      <c r="M301" s="33" t="s">
        <v>35</v>
      </c>
    </row>
    <row r="302" customFormat="false" ht="15" hidden="false" customHeight="false" outlineLevel="0" collapsed="false">
      <c r="A302" s="29" t="s">
        <v>52</v>
      </c>
      <c r="B302" s="29" t="s">
        <v>37</v>
      </c>
      <c r="C302" s="29" t="n">
        <v>2021</v>
      </c>
      <c r="D302" s="30" t="n">
        <v>-0.81</v>
      </c>
      <c r="E302" s="30" t="n">
        <v>3.67</v>
      </c>
      <c r="F302" s="30" t="n">
        <v>7.47</v>
      </c>
      <c r="G302" s="31" t="n">
        <v>54</v>
      </c>
      <c r="H302" s="31" t="n">
        <v>708.3</v>
      </c>
      <c r="I302" s="30" t="n">
        <v>60.4</v>
      </c>
      <c r="J302" s="32" t="n">
        <v>0.585</v>
      </c>
      <c r="K302" s="30" t="n">
        <v>1.52</v>
      </c>
      <c r="L302" s="29" t="s">
        <v>30</v>
      </c>
      <c r="M302" s="29" t="s">
        <v>31</v>
      </c>
    </row>
    <row r="303" customFormat="false" ht="15" hidden="false" customHeight="false" outlineLevel="0" collapsed="false">
      <c r="A303" s="33" t="s">
        <v>52</v>
      </c>
      <c r="B303" s="33" t="s">
        <v>37</v>
      </c>
      <c r="C303" s="33" t="n">
        <v>2022</v>
      </c>
      <c r="D303" s="34" t="n">
        <v>-1.28</v>
      </c>
      <c r="E303" s="34" t="n">
        <v>10.19</v>
      </c>
      <c r="F303" s="34" t="n">
        <v>13.25</v>
      </c>
      <c r="G303" s="35" t="n">
        <v>623.7</v>
      </c>
      <c r="H303" s="35" t="n">
        <v>167.9</v>
      </c>
      <c r="I303" s="34" t="n">
        <v>30.2</v>
      </c>
      <c r="J303" s="36" t="n">
        <v>0.673</v>
      </c>
      <c r="K303" s="34" t="n">
        <v>-0.39</v>
      </c>
      <c r="L303" s="33" t="s">
        <v>39</v>
      </c>
      <c r="M303" s="33" t="s">
        <v>38</v>
      </c>
    </row>
    <row r="304" customFormat="false" ht="15" hidden="false" customHeight="false" outlineLevel="0" collapsed="false">
      <c r="A304" s="29" t="s">
        <v>52</v>
      </c>
      <c r="B304" s="29" t="s">
        <v>37</v>
      </c>
      <c r="C304" s="29" t="n">
        <v>2023</v>
      </c>
      <c r="D304" s="30" t="n">
        <v>2.9</v>
      </c>
      <c r="E304" s="30" t="n">
        <v>8.13</v>
      </c>
      <c r="F304" s="30" t="n">
        <v>18.49</v>
      </c>
      <c r="G304" s="31" t="n">
        <v>67.9</v>
      </c>
      <c r="H304" s="31" t="n">
        <v>519.4</v>
      </c>
      <c r="I304" s="30" t="n">
        <v>78.1</v>
      </c>
      <c r="J304" s="32" t="n">
        <v>0.517</v>
      </c>
      <c r="K304" s="30" t="n">
        <v>2.04</v>
      </c>
      <c r="L304" s="29" t="s">
        <v>30</v>
      </c>
      <c r="M304" s="29" t="s">
        <v>38</v>
      </c>
    </row>
    <row r="305" customFormat="false" ht="15" hidden="false" customHeight="false" outlineLevel="0" collapsed="false">
      <c r="A305" s="33" t="s">
        <v>52</v>
      </c>
      <c r="B305" s="33" t="s">
        <v>37</v>
      </c>
      <c r="C305" s="33" t="n">
        <v>2024</v>
      </c>
      <c r="D305" s="34" t="n">
        <v>-1.81</v>
      </c>
      <c r="E305" s="34" t="n">
        <v>2.14</v>
      </c>
      <c r="F305" s="34" t="n">
        <v>11.89</v>
      </c>
      <c r="G305" s="35" t="n">
        <v>1922.3</v>
      </c>
      <c r="H305" s="35" t="n">
        <v>-286.4</v>
      </c>
      <c r="I305" s="34" t="n">
        <v>70.2</v>
      </c>
      <c r="J305" s="36" t="n">
        <v>0.578</v>
      </c>
      <c r="K305" s="34" t="n">
        <v>2.41</v>
      </c>
      <c r="L305" s="33" t="s">
        <v>30</v>
      </c>
      <c r="M305" s="33" t="s">
        <v>32</v>
      </c>
    </row>
    <row r="306" customFormat="false" ht="15" hidden="false" customHeight="false" outlineLevel="0" collapsed="false">
      <c r="A306" s="29" t="s">
        <v>52</v>
      </c>
      <c r="B306" s="29" t="s">
        <v>40</v>
      </c>
      <c r="C306" s="29" t="n">
        <v>2021</v>
      </c>
      <c r="D306" s="30" t="n">
        <v>1.42</v>
      </c>
      <c r="E306" s="30" t="n">
        <v>10.55</v>
      </c>
      <c r="F306" s="30" t="n">
        <v>3.33</v>
      </c>
      <c r="G306" s="31" t="n">
        <v>1655</v>
      </c>
      <c r="H306" s="31" t="n">
        <v>1045.1</v>
      </c>
      <c r="I306" s="30" t="n">
        <v>74.1</v>
      </c>
      <c r="J306" s="32" t="n">
        <v>0.789</v>
      </c>
      <c r="K306" s="30" t="n">
        <v>1.37</v>
      </c>
      <c r="L306" s="29" t="s">
        <v>39</v>
      </c>
      <c r="M306" s="29" t="s">
        <v>31</v>
      </c>
    </row>
    <row r="307" customFormat="false" ht="15" hidden="false" customHeight="false" outlineLevel="0" collapsed="false">
      <c r="A307" s="33" t="s">
        <v>52</v>
      </c>
      <c r="B307" s="33" t="s">
        <v>40</v>
      </c>
      <c r="C307" s="33" t="n">
        <v>2022</v>
      </c>
      <c r="D307" s="34" t="n">
        <v>7.65</v>
      </c>
      <c r="E307" s="34" t="n">
        <v>15.26</v>
      </c>
      <c r="F307" s="34" t="n">
        <v>8.53</v>
      </c>
      <c r="G307" s="35" t="n">
        <v>695.4</v>
      </c>
      <c r="H307" s="35" t="n">
        <v>-328.3</v>
      </c>
      <c r="I307" s="34" t="n">
        <v>80.4</v>
      </c>
      <c r="J307" s="36" t="n">
        <v>0.504</v>
      </c>
      <c r="K307" s="34" t="n">
        <v>2.59</v>
      </c>
      <c r="L307" s="33" t="s">
        <v>34</v>
      </c>
      <c r="M307" s="33" t="s">
        <v>35</v>
      </c>
    </row>
    <row r="308" customFormat="false" ht="15" hidden="false" customHeight="false" outlineLevel="0" collapsed="false">
      <c r="A308" s="29" t="s">
        <v>52</v>
      </c>
      <c r="B308" s="29" t="s">
        <v>40</v>
      </c>
      <c r="C308" s="29" t="n">
        <v>2023</v>
      </c>
      <c r="D308" s="30" t="n">
        <v>-1.26</v>
      </c>
      <c r="E308" s="30" t="n">
        <v>13.45</v>
      </c>
      <c r="F308" s="30" t="n">
        <v>21</v>
      </c>
      <c r="G308" s="31" t="n">
        <v>1029.8</v>
      </c>
      <c r="H308" s="31" t="n">
        <v>1130.7</v>
      </c>
      <c r="I308" s="30" t="n">
        <v>79.7</v>
      </c>
      <c r="J308" s="32" t="n">
        <v>0.746</v>
      </c>
      <c r="K308" s="30" t="n">
        <v>-1.15</v>
      </c>
      <c r="L308" s="29" t="s">
        <v>39</v>
      </c>
      <c r="M308" s="29" t="s">
        <v>32</v>
      </c>
    </row>
    <row r="309" customFormat="false" ht="15" hidden="false" customHeight="false" outlineLevel="0" collapsed="false">
      <c r="A309" s="33" t="s">
        <v>52</v>
      </c>
      <c r="B309" s="33" t="s">
        <v>40</v>
      </c>
      <c r="C309" s="33" t="n">
        <v>2024</v>
      </c>
      <c r="D309" s="34" t="n">
        <v>2.26</v>
      </c>
      <c r="E309" s="34" t="n">
        <v>3.69</v>
      </c>
      <c r="F309" s="34" t="n">
        <v>12.97</v>
      </c>
      <c r="G309" s="35" t="n">
        <v>1208.6</v>
      </c>
      <c r="H309" s="35" t="n">
        <v>675.4</v>
      </c>
      <c r="I309" s="34" t="n">
        <v>82.1</v>
      </c>
      <c r="J309" s="36" t="n">
        <v>0.7</v>
      </c>
      <c r="K309" s="34" t="n">
        <v>3.63</v>
      </c>
      <c r="L309" s="33" t="s">
        <v>30</v>
      </c>
      <c r="M309" s="33" t="s">
        <v>32</v>
      </c>
    </row>
    <row r="310" customFormat="false" ht="15" hidden="false" customHeight="false" outlineLevel="0" collapsed="false">
      <c r="A310" s="29" t="s">
        <v>52</v>
      </c>
      <c r="B310" s="29" t="s">
        <v>41</v>
      </c>
      <c r="C310" s="29" t="n">
        <v>2021</v>
      </c>
      <c r="D310" s="30" t="n">
        <v>1.84</v>
      </c>
      <c r="E310" s="30" t="n">
        <v>6.65</v>
      </c>
      <c r="F310" s="30" t="n">
        <v>9.29</v>
      </c>
      <c r="G310" s="31" t="n">
        <v>1116.3</v>
      </c>
      <c r="H310" s="31" t="n">
        <v>796</v>
      </c>
      <c r="I310" s="30" t="n">
        <v>35.2</v>
      </c>
      <c r="J310" s="32" t="n">
        <v>0.741</v>
      </c>
      <c r="K310" s="30" t="n">
        <v>2.48</v>
      </c>
      <c r="L310" s="29" t="s">
        <v>30</v>
      </c>
      <c r="M310" s="29" t="s">
        <v>38</v>
      </c>
    </row>
    <row r="311" customFormat="false" ht="15" hidden="false" customHeight="false" outlineLevel="0" collapsed="false">
      <c r="A311" s="33" t="s">
        <v>52</v>
      </c>
      <c r="B311" s="33" t="s">
        <v>41</v>
      </c>
      <c r="C311" s="33" t="n">
        <v>2022</v>
      </c>
      <c r="D311" s="34" t="n">
        <v>1.54</v>
      </c>
      <c r="E311" s="34" t="n">
        <v>3.4</v>
      </c>
      <c r="F311" s="34" t="n">
        <v>4.11</v>
      </c>
      <c r="G311" s="35" t="n">
        <v>1458.6</v>
      </c>
      <c r="H311" s="35" t="n">
        <v>-186.2</v>
      </c>
      <c r="I311" s="34" t="n">
        <v>22.9</v>
      </c>
      <c r="J311" s="36" t="n">
        <v>0.524</v>
      </c>
      <c r="K311" s="34" t="n">
        <v>3.48</v>
      </c>
      <c r="L311" s="33" t="s">
        <v>30</v>
      </c>
      <c r="M311" s="33" t="s">
        <v>38</v>
      </c>
    </row>
    <row r="312" customFormat="false" ht="15" hidden="false" customHeight="false" outlineLevel="0" collapsed="false">
      <c r="A312" s="29" t="s">
        <v>52</v>
      </c>
      <c r="B312" s="29" t="s">
        <v>41</v>
      </c>
      <c r="C312" s="29" t="n">
        <v>2023</v>
      </c>
      <c r="D312" s="30" t="n">
        <v>-1.68</v>
      </c>
      <c r="E312" s="30" t="n">
        <v>13.77</v>
      </c>
      <c r="F312" s="30" t="n">
        <v>18.7</v>
      </c>
      <c r="G312" s="31" t="n">
        <v>1634.1</v>
      </c>
      <c r="H312" s="31" t="n">
        <v>376.7</v>
      </c>
      <c r="I312" s="30" t="n">
        <v>44.9</v>
      </c>
      <c r="J312" s="32" t="n">
        <v>0.82</v>
      </c>
      <c r="K312" s="30" t="n">
        <v>-1.15</v>
      </c>
      <c r="L312" s="29" t="s">
        <v>39</v>
      </c>
      <c r="M312" s="29" t="s">
        <v>32</v>
      </c>
    </row>
    <row r="313" customFormat="false" ht="15" hidden="false" customHeight="false" outlineLevel="0" collapsed="false">
      <c r="A313" s="33" t="s">
        <v>52</v>
      </c>
      <c r="B313" s="33" t="s">
        <v>41</v>
      </c>
      <c r="C313" s="33" t="n">
        <v>2024</v>
      </c>
      <c r="D313" s="34" t="n">
        <v>6.06</v>
      </c>
      <c r="E313" s="34" t="n">
        <v>17.01</v>
      </c>
      <c r="F313" s="34" t="n">
        <v>16.95</v>
      </c>
      <c r="G313" s="35" t="n">
        <v>1468.5</v>
      </c>
      <c r="H313" s="35" t="n">
        <v>1454.9</v>
      </c>
      <c r="I313" s="34" t="n">
        <v>50.8</v>
      </c>
      <c r="J313" s="36" t="n">
        <v>0.872</v>
      </c>
      <c r="K313" s="34" t="n">
        <v>1.66</v>
      </c>
      <c r="L313" s="33" t="s">
        <v>34</v>
      </c>
      <c r="M313" s="33" t="s">
        <v>38</v>
      </c>
    </row>
    <row r="314" customFormat="false" ht="15" hidden="false" customHeight="false" outlineLevel="0" collapsed="false">
      <c r="A314" s="29" t="s">
        <v>52</v>
      </c>
      <c r="B314" s="29" t="s">
        <v>42</v>
      </c>
      <c r="C314" s="29" t="n">
        <v>2021</v>
      </c>
      <c r="D314" s="30" t="n">
        <v>2.16</v>
      </c>
      <c r="E314" s="30" t="n">
        <v>4.43</v>
      </c>
      <c r="F314" s="30" t="n">
        <v>18.81</v>
      </c>
      <c r="G314" s="31" t="n">
        <v>269</v>
      </c>
      <c r="H314" s="31" t="n">
        <v>710.3</v>
      </c>
      <c r="I314" s="30" t="n">
        <v>22.4</v>
      </c>
      <c r="J314" s="32" t="n">
        <v>0.854</v>
      </c>
      <c r="K314" s="30" t="n">
        <v>2.89</v>
      </c>
      <c r="L314" s="29" t="s">
        <v>30</v>
      </c>
      <c r="M314" s="29" t="s">
        <v>32</v>
      </c>
    </row>
    <row r="315" customFormat="false" ht="15" hidden="false" customHeight="false" outlineLevel="0" collapsed="false">
      <c r="A315" s="33" t="s">
        <v>52</v>
      </c>
      <c r="B315" s="33" t="s">
        <v>42</v>
      </c>
      <c r="C315" s="33" t="n">
        <v>2022</v>
      </c>
      <c r="D315" s="34" t="n">
        <v>-0.58</v>
      </c>
      <c r="E315" s="34" t="n">
        <v>13.36</v>
      </c>
      <c r="F315" s="34" t="n">
        <v>13.8</v>
      </c>
      <c r="G315" s="35" t="n">
        <v>1390</v>
      </c>
      <c r="H315" s="35" t="n">
        <v>-359</v>
      </c>
      <c r="I315" s="34" t="n">
        <v>69.3</v>
      </c>
      <c r="J315" s="36" t="n">
        <v>0.547</v>
      </c>
      <c r="K315" s="34" t="n">
        <v>-0.6</v>
      </c>
      <c r="L315" s="33" t="s">
        <v>39</v>
      </c>
      <c r="M315" s="33" t="s">
        <v>38</v>
      </c>
    </row>
    <row r="316" customFormat="false" ht="15" hidden="false" customHeight="false" outlineLevel="0" collapsed="false">
      <c r="A316" s="29" t="s">
        <v>52</v>
      </c>
      <c r="B316" s="29" t="s">
        <v>42</v>
      </c>
      <c r="C316" s="29" t="n">
        <v>2023</v>
      </c>
      <c r="D316" s="30" t="n">
        <v>2.4</v>
      </c>
      <c r="E316" s="30" t="n">
        <v>9.07</v>
      </c>
      <c r="F316" s="30" t="n">
        <v>7.08</v>
      </c>
      <c r="G316" s="31" t="n">
        <v>1669.5</v>
      </c>
      <c r="H316" s="31" t="n">
        <v>321.3</v>
      </c>
      <c r="I316" s="30" t="n">
        <v>38.3</v>
      </c>
      <c r="J316" s="32" t="n">
        <v>0.652</v>
      </c>
      <c r="K316" s="30" t="n">
        <v>2.31</v>
      </c>
      <c r="L316" s="29" t="s">
        <v>30</v>
      </c>
      <c r="M316" s="29" t="s">
        <v>35</v>
      </c>
    </row>
    <row r="317" customFormat="false" ht="15" hidden="false" customHeight="false" outlineLevel="0" collapsed="false">
      <c r="A317" s="33" t="s">
        <v>52</v>
      </c>
      <c r="B317" s="33" t="s">
        <v>42</v>
      </c>
      <c r="C317" s="33" t="n">
        <v>2024</v>
      </c>
      <c r="D317" s="34" t="n">
        <v>3.32</v>
      </c>
      <c r="E317" s="34" t="n">
        <v>12.05</v>
      </c>
      <c r="F317" s="34" t="n">
        <v>7.32</v>
      </c>
      <c r="G317" s="35" t="n">
        <v>1015.7</v>
      </c>
      <c r="H317" s="35" t="n">
        <v>1192.3</v>
      </c>
      <c r="I317" s="34" t="n">
        <v>31.2</v>
      </c>
      <c r="J317" s="36" t="n">
        <v>0.651</v>
      </c>
      <c r="K317" s="34" t="n">
        <v>1.55</v>
      </c>
      <c r="L317" s="33" t="s">
        <v>39</v>
      </c>
      <c r="M317" s="33" t="s">
        <v>38</v>
      </c>
    </row>
    <row r="318" customFormat="false" ht="15" hidden="false" customHeight="false" outlineLevel="0" collapsed="false">
      <c r="A318" s="29" t="s">
        <v>52</v>
      </c>
      <c r="B318" s="29" t="s">
        <v>43</v>
      </c>
      <c r="C318" s="29" t="n">
        <v>2021</v>
      </c>
      <c r="D318" s="30" t="n">
        <v>-1.47</v>
      </c>
      <c r="E318" s="30" t="n">
        <v>15.99</v>
      </c>
      <c r="F318" s="30" t="n">
        <v>17.93</v>
      </c>
      <c r="G318" s="31" t="n">
        <v>630.3</v>
      </c>
      <c r="H318" s="31" t="n">
        <v>460.6</v>
      </c>
      <c r="I318" s="30" t="n">
        <v>79.4</v>
      </c>
      <c r="J318" s="32" t="n">
        <v>0.68</v>
      </c>
      <c r="K318" s="30" t="n">
        <v>-2.22</v>
      </c>
      <c r="L318" s="29" t="s">
        <v>34</v>
      </c>
      <c r="M318" s="29" t="s">
        <v>31</v>
      </c>
    </row>
    <row r="319" customFormat="false" ht="15" hidden="false" customHeight="false" outlineLevel="0" collapsed="false">
      <c r="A319" s="33" t="s">
        <v>52</v>
      </c>
      <c r="B319" s="33" t="s">
        <v>43</v>
      </c>
      <c r="C319" s="33" t="n">
        <v>2022</v>
      </c>
      <c r="D319" s="34" t="n">
        <v>0.19</v>
      </c>
      <c r="E319" s="34" t="n">
        <v>2.57</v>
      </c>
      <c r="F319" s="34" t="n">
        <v>5.32</v>
      </c>
      <c r="G319" s="35" t="n">
        <v>1290.1</v>
      </c>
      <c r="H319" s="35" t="n">
        <v>365.4</v>
      </c>
      <c r="I319" s="34" t="n">
        <v>56.3</v>
      </c>
      <c r="J319" s="36" t="n">
        <v>0.751</v>
      </c>
      <c r="K319" s="34" t="n">
        <v>2.97</v>
      </c>
      <c r="L319" s="33" t="s">
        <v>30</v>
      </c>
      <c r="M319" s="33" t="s">
        <v>32</v>
      </c>
    </row>
    <row r="320" customFormat="false" ht="15" hidden="false" customHeight="false" outlineLevel="0" collapsed="false">
      <c r="A320" s="29" t="s">
        <v>52</v>
      </c>
      <c r="B320" s="29" t="s">
        <v>43</v>
      </c>
      <c r="C320" s="29" t="n">
        <v>2023</v>
      </c>
      <c r="D320" s="30" t="n">
        <v>6.16</v>
      </c>
      <c r="E320" s="30" t="n">
        <v>16.41</v>
      </c>
      <c r="F320" s="30" t="n">
        <v>19.66</v>
      </c>
      <c r="G320" s="31" t="n">
        <v>1633.3</v>
      </c>
      <c r="H320" s="31" t="n">
        <v>475</v>
      </c>
      <c r="I320" s="30" t="n">
        <v>47.7</v>
      </c>
      <c r="J320" s="32" t="n">
        <v>0.792</v>
      </c>
      <c r="K320" s="30" t="n">
        <v>1.97</v>
      </c>
      <c r="L320" s="29" t="s">
        <v>34</v>
      </c>
      <c r="M320" s="29" t="s">
        <v>31</v>
      </c>
    </row>
    <row r="321" customFormat="false" ht="15" hidden="false" customHeight="false" outlineLevel="0" collapsed="false">
      <c r="A321" s="33" t="s">
        <v>52</v>
      </c>
      <c r="B321" s="33" t="s">
        <v>43</v>
      </c>
      <c r="C321" s="33" t="n">
        <v>2024</v>
      </c>
      <c r="D321" s="34" t="n">
        <v>2.47</v>
      </c>
      <c r="E321" s="34" t="n">
        <v>16.05</v>
      </c>
      <c r="F321" s="34" t="n">
        <v>12.23</v>
      </c>
      <c r="G321" s="35" t="n">
        <v>1394.3</v>
      </c>
      <c r="H321" s="35" t="n">
        <v>551</v>
      </c>
      <c r="I321" s="34" t="n">
        <v>43.2</v>
      </c>
      <c r="J321" s="36" t="n">
        <v>0.472</v>
      </c>
      <c r="K321" s="34" t="n">
        <v>0.12</v>
      </c>
      <c r="L321" s="33" t="s">
        <v>34</v>
      </c>
      <c r="M321" s="33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7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8" min="8" style="0" width="12"/>
  </cols>
  <sheetData>
    <row r="1" customFormat="false" ht="36" hidden="false" customHeight="true" outlineLevel="0" collapsed="false">
      <c r="A1" s="37" t="s">
        <v>53</v>
      </c>
      <c r="B1" s="37"/>
      <c r="C1" s="37"/>
      <c r="D1" s="37"/>
      <c r="E1" s="37"/>
      <c r="F1" s="37"/>
      <c r="G1" s="37"/>
      <c r="H1" s="37"/>
    </row>
    <row r="2" customFormat="false" ht="21.75" hidden="false" customHeight="true" outlineLevel="0" collapsed="false">
      <c r="A2" s="2" t="s">
        <v>54</v>
      </c>
      <c r="B2" s="2"/>
      <c r="C2" s="2"/>
      <c r="D2" s="2"/>
      <c r="E2" s="2"/>
      <c r="F2" s="2"/>
      <c r="G2" s="2"/>
      <c r="H2" s="2"/>
    </row>
    <row r="4" customFormat="false" ht="36" hidden="false" customHeight="true" outlineLevel="0" collapsed="false">
      <c r="A4" s="38" t="s">
        <v>10</v>
      </c>
      <c r="B4" s="38" t="s">
        <v>5</v>
      </c>
      <c r="C4" s="38" t="s">
        <v>55</v>
      </c>
      <c r="D4" s="38" t="s">
        <v>56</v>
      </c>
      <c r="E4" s="38" t="s">
        <v>6</v>
      </c>
      <c r="F4" s="38" t="s">
        <v>12</v>
      </c>
      <c r="G4" s="38" t="s">
        <v>57</v>
      </c>
      <c r="H4" s="38" t="s">
        <v>58</v>
      </c>
    </row>
    <row r="5" customFormat="false" ht="15" hidden="false" customHeight="false" outlineLevel="0" collapsed="false">
      <c r="A5" s="18" t="s">
        <v>28</v>
      </c>
      <c r="B5" s="19" t="n">
        <f aca="false">AVERAGEIF('Research Data'!A:A,A5,'Research Data'!D:D)</f>
        <v>3.4171875</v>
      </c>
      <c r="C5" s="19" t="n">
        <f aca="false">AVERAGEIF('Research Data'!A:A,A5,'Research Data'!E:E)</f>
        <v>9.7259375</v>
      </c>
      <c r="D5" s="19" t="n">
        <f aca="false">AVERAGEIF('Research Data'!A:A,A5,'Research Data'!F:F)</f>
        <v>13.4796875</v>
      </c>
      <c r="E5" s="39" t="n">
        <f aca="false">SUMIF('Research Data'!A:A,A5,'Research Data'!G:G)</f>
        <v>30675.6</v>
      </c>
      <c r="F5" s="20" t="n">
        <f aca="false">AVERAGEIF('Research Data'!A:A,A5,'Research Data'!J:J)</f>
        <v>0.68109375</v>
      </c>
      <c r="G5" s="19" t="n">
        <f aca="false">AVERAGEIF('Research Data'!A:A,A5,'Research Data'!K:K)</f>
        <v>2.269375</v>
      </c>
      <c r="H5" s="39" t="n">
        <f aca="false">COUNTIF('Research Data'!A:A,A5)</f>
        <v>32</v>
      </c>
    </row>
    <row r="6" customFormat="false" ht="15" hidden="false" customHeight="false" outlineLevel="0" collapsed="false">
      <c r="A6" s="40" t="s">
        <v>44</v>
      </c>
      <c r="B6" s="41" t="n">
        <f aca="false">AVERAGEIF('Research Data'!A:A,A6,'Research Data'!D:D)</f>
        <v>3.0453125</v>
      </c>
      <c r="C6" s="41" t="n">
        <f aca="false">AVERAGEIF('Research Data'!A:A,A6,'Research Data'!E:E)</f>
        <v>8.8671875</v>
      </c>
      <c r="D6" s="41" t="n">
        <f aca="false">AVERAGEIF('Research Data'!A:A,A6,'Research Data'!F:F)</f>
        <v>11.04875</v>
      </c>
      <c r="E6" s="42" t="n">
        <f aca="false">SUMIF('Research Data'!A:A,A6,'Research Data'!G:G)</f>
        <v>31367</v>
      </c>
      <c r="F6" s="43" t="n">
        <f aca="false">AVERAGEIF('Research Data'!A:A,A6,'Research Data'!J:J)</f>
        <v>0.6533125</v>
      </c>
      <c r="G6" s="41" t="n">
        <f aca="false">AVERAGEIF('Research Data'!A:A,A6,'Research Data'!K:K)</f>
        <v>2.3525</v>
      </c>
      <c r="H6" s="42" t="n">
        <f aca="false">COUNTIF('Research Data'!A:A,A6)</f>
        <v>32</v>
      </c>
    </row>
    <row r="7" customFormat="false" ht="15" hidden="false" customHeight="false" outlineLevel="0" collapsed="false">
      <c r="A7" s="18" t="s">
        <v>45</v>
      </c>
      <c r="B7" s="19" t="n">
        <f aca="false">AVERAGEIF('Research Data'!A:A,A7,'Research Data'!D:D)</f>
        <v>2.2821875</v>
      </c>
      <c r="C7" s="19" t="n">
        <f aca="false">AVERAGEIF('Research Data'!A:A,A7,'Research Data'!E:E)</f>
        <v>11.048125</v>
      </c>
      <c r="D7" s="19" t="n">
        <f aca="false">AVERAGEIF('Research Data'!A:A,A7,'Research Data'!F:F)</f>
        <v>11.225</v>
      </c>
      <c r="E7" s="39" t="n">
        <f aca="false">SUMIF('Research Data'!A:A,A7,'Research Data'!G:G)</f>
        <v>26075.4</v>
      </c>
      <c r="F7" s="20" t="n">
        <f aca="false">AVERAGEIF('Research Data'!A:A,A7,'Research Data'!J:J)</f>
        <v>0.69434375</v>
      </c>
      <c r="G7" s="19" t="n">
        <f aca="false">AVERAGEIF('Research Data'!A:A,A7,'Research Data'!K:K)</f>
        <v>1.2340625</v>
      </c>
      <c r="H7" s="39" t="n">
        <f aca="false">COUNTIF('Research Data'!A:A,A7)</f>
        <v>32</v>
      </c>
    </row>
    <row r="8" customFormat="false" ht="15" hidden="false" customHeight="false" outlineLevel="0" collapsed="false">
      <c r="A8" s="40" t="s">
        <v>46</v>
      </c>
      <c r="B8" s="41" t="n">
        <f aca="false">AVERAGEIF('Research Data'!A:A,A8,'Research Data'!D:D)</f>
        <v>2.788125</v>
      </c>
      <c r="C8" s="41" t="n">
        <f aca="false">AVERAGEIF('Research Data'!A:A,A8,'Research Data'!E:E)</f>
        <v>9.8175</v>
      </c>
      <c r="D8" s="41" t="n">
        <f aca="false">AVERAGEIF('Research Data'!A:A,A8,'Research Data'!F:F)</f>
        <v>12.6659375</v>
      </c>
      <c r="E8" s="42" t="n">
        <f aca="false">SUMIF('Research Data'!A:A,A8,'Research Data'!G:G)</f>
        <v>29641.6</v>
      </c>
      <c r="F8" s="43" t="n">
        <f aca="false">AVERAGEIF('Research Data'!A:A,A8,'Research Data'!J:J)</f>
        <v>0.66546875</v>
      </c>
      <c r="G8" s="41" t="n">
        <f aca="false">AVERAGEIF('Research Data'!A:A,A8,'Research Data'!K:K)</f>
        <v>1.9128125</v>
      </c>
      <c r="H8" s="42" t="n">
        <f aca="false">COUNTIF('Research Data'!A:A,A8)</f>
        <v>32</v>
      </c>
    </row>
    <row r="9" customFormat="false" ht="15" hidden="false" customHeight="false" outlineLevel="0" collapsed="false">
      <c r="A9" s="18" t="s">
        <v>47</v>
      </c>
      <c r="B9" s="19" t="n">
        <f aca="false">AVERAGEIF('Research Data'!A:A,A9,'Research Data'!D:D)</f>
        <v>3.119375</v>
      </c>
      <c r="C9" s="19" t="n">
        <f aca="false">AVERAGEIF('Research Data'!A:A,A9,'Research Data'!E:E)</f>
        <v>8.879375</v>
      </c>
      <c r="D9" s="19" t="n">
        <f aca="false">AVERAGEIF('Research Data'!A:A,A9,'Research Data'!F:F)</f>
        <v>11.7396875</v>
      </c>
      <c r="E9" s="39" t="n">
        <f aca="false">SUMIF('Research Data'!A:A,A9,'Research Data'!G:G)</f>
        <v>35085.2</v>
      </c>
      <c r="F9" s="20" t="n">
        <f aca="false">AVERAGEIF('Research Data'!A:A,A9,'Research Data'!J:J)</f>
        <v>0.65640625</v>
      </c>
      <c r="G9" s="19" t="n">
        <f aca="false">AVERAGEIF('Research Data'!A:A,A9,'Research Data'!K:K)</f>
        <v>2.445625</v>
      </c>
      <c r="H9" s="39" t="n">
        <f aca="false">COUNTIF('Research Data'!A:A,A9)</f>
        <v>32</v>
      </c>
    </row>
    <row r="10" customFormat="false" ht="15" hidden="false" customHeight="false" outlineLevel="0" collapsed="false">
      <c r="A10" s="40" t="s">
        <v>48</v>
      </c>
      <c r="B10" s="41" t="n">
        <f aca="false">AVERAGEIF('Research Data'!A:A,A10,'Research Data'!D:D)</f>
        <v>3.2140625</v>
      </c>
      <c r="C10" s="41" t="n">
        <f aca="false">AVERAGEIF('Research Data'!A:A,A10,'Research Data'!E:E)</f>
        <v>9.070625</v>
      </c>
      <c r="D10" s="41" t="n">
        <f aca="false">AVERAGEIF('Research Data'!A:A,A10,'Research Data'!F:F)</f>
        <v>12.94625</v>
      </c>
      <c r="E10" s="42" t="n">
        <f aca="false">SUMIF('Research Data'!A:A,A10,'Research Data'!G:G)</f>
        <v>24086.6</v>
      </c>
      <c r="F10" s="43" t="n">
        <f aca="false">AVERAGEIF('Research Data'!A:A,A10,'Research Data'!J:J)</f>
        <v>0.63953125</v>
      </c>
      <c r="G10" s="41" t="n">
        <f aca="false">AVERAGEIF('Research Data'!A:A,A10,'Research Data'!K:K)</f>
        <v>2.2625</v>
      </c>
      <c r="H10" s="42" t="n">
        <f aca="false">COUNTIF('Research Data'!A:A,A10)</f>
        <v>32</v>
      </c>
    </row>
    <row r="11" customFormat="false" ht="15" hidden="false" customHeight="false" outlineLevel="0" collapsed="false">
      <c r="A11" s="18" t="s">
        <v>49</v>
      </c>
      <c r="B11" s="19" t="n">
        <f aca="false">AVERAGEIF('Research Data'!A:A,A11,'Research Data'!D:D)</f>
        <v>3.261875</v>
      </c>
      <c r="C11" s="19" t="n">
        <f aca="false">AVERAGEIF('Research Data'!A:A,A11,'Research Data'!E:E)</f>
        <v>11.0009375</v>
      </c>
      <c r="D11" s="19" t="n">
        <f aca="false">AVERAGEIF('Research Data'!A:A,A11,'Research Data'!F:F)</f>
        <v>11.396875</v>
      </c>
      <c r="E11" s="39" t="n">
        <f aca="false">SUMIF('Research Data'!A:A,A11,'Research Data'!G:G)</f>
        <v>31805</v>
      </c>
      <c r="F11" s="20" t="n">
        <f aca="false">AVERAGEIF('Research Data'!A:A,A11,'Research Data'!J:J)</f>
        <v>0.67715625</v>
      </c>
      <c r="G11" s="19" t="n">
        <f aca="false">AVERAGEIF('Research Data'!A:A,A11,'Research Data'!K:K)</f>
        <v>1.826875</v>
      </c>
      <c r="H11" s="39" t="n">
        <f aca="false">COUNTIF('Research Data'!A:A,A11)</f>
        <v>32</v>
      </c>
    </row>
    <row r="12" customFormat="false" ht="15" hidden="false" customHeight="false" outlineLevel="0" collapsed="false">
      <c r="A12" s="40" t="s">
        <v>50</v>
      </c>
      <c r="B12" s="41" t="n">
        <f aca="false">AVERAGEIF('Research Data'!A:A,A12,'Research Data'!D:D)</f>
        <v>3.646875</v>
      </c>
      <c r="C12" s="41" t="n">
        <f aca="false">AVERAGEIF('Research Data'!A:A,A12,'Research Data'!E:E)</f>
        <v>8.920625</v>
      </c>
      <c r="D12" s="41" t="n">
        <f aca="false">AVERAGEIF('Research Data'!A:A,A12,'Research Data'!F:F)</f>
        <v>12.05</v>
      </c>
      <c r="E12" s="42" t="n">
        <f aca="false">SUMIF('Research Data'!A:A,A12,'Research Data'!G:G)</f>
        <v>28051</v>
      </c>
      <c r="F12" s="43" t="n">
        <f aca="false">AVERAGEIF('Research Data'!A:A,A12,'Research Data'!J:J)</f>
        <v>0.69071875</v>
      </c>
      <c r="G12" s="41" t="n">
        <f aca="false">AVERAGEIF('Research Data'!A:A,A12,'Research Data'!K:K)</f>
        <v>2.585</v>
      </c>
      <c r="H12" s="42" t="n">
        <f aca="false">COUNTIF('Research Data'!A:A,A12)</f>
        <v>32</v>
      </c>
    </row>
    <row r="13" customFormat="false" ht="15" hidden="false" customHeight="false" outlineLevel="0" collapsed="false">
      <c r="A13" s="18" t="s">
        <v>51</v>
      </c>
      <c r="B13" s="19" t="n">
        <f aca="false">AVERAGEIF('Research Data'!A:A,A13,'Research Data'!D:D)</f>
        <v>3.563125</v>
      </c>
      <c r="C13" s="19" t="n">
        <f aca="false">AVERAGEIF('Research Data'!A:A,A13,'Research Data'!E:E)</f>
        <v>9.208125</v>
      </c>
      <c r="D13" s="19" t="n">
        <f aca="false">AVERAGEIF('Research Data'!A:A,A13,'Research Data'!F:F)</f>
        <v>11.581875</v>
      </c>
      <c r="E13" s="39" t="n">
        <f aca="false">SUMIF('Research Data'!A:A,A13,'Research Data'!G:G)</f>
        <v>30628.8</v>
      </c>
      <c r="F13" s="20" t="n">
        <f aca="false">AVERAGEIF('Research Data'!A:A,A13,'Research Data'!J:J)</f>
        <v>0.69575</v>
      </c>
      <c r="G13" s="19" t="n">
        <f aca="false">AVERAGEIF('Research Data'!A:A,A13,'Research Data'!K:K)</f>
        <v>2.498125</v>
      </c>
      <c r="H13" s="39" t="n">
        <f aca="false">COUNTIF('Research Data'!A:A,A13)</f>
        <v>32</v>
      </c>
    </row>
    <row r="14" customFormat="false" ht="15" hidden="false" customHeight="false" outlineLevel="0" collapsed="false">
      <c r="A14" s="40" t="s">
        <v>52</v>
      </c>
      <c r="B14" s="41" t="n">
        <f aca="false">AVERAGEIF('Research Data'!A:A,A14,'Research Data'!D:D)</f>
        <v>2.28</v>
      </c>
      <c r="C14" s="41" t="n">
        <f aca="false">AVERAGEIF('Research Data'!A:A,A14,'Research Data'!E:E)</f>
        <v>10.3434375</v>
      </c>
      <c r="D14" s="41" t="n">
        <f aca="false">AVERAGEIF('Research Data'!A:A,A14,'Research Data'!F:F)</f>
        <v>12.133125</v>
      </c>
      <c r="E14" s="42" t="n">
        <f aca="false">SUMIF('Research Data'!A:A,A14,'Research Data'!G:G)</f>
        <v>35873.5</v>
      </c>
      <c r="F14" s="43" t="n">
        <f aca="false">AVERAGEIF('Research Data'!A:A,A14,'Research Data'!J:J)</f>
        <v>0.67503125</v>
      </c>
      <c r="G14" s="41" t="n">
        <f aca="false">AVERAGEIF('Research Data'!A:A,A14,'Research Data'!K:K)</f>
        <v>1.5965625</v>
      </c>
      <c r="H14" s="42" t="n">
        <f aca="false">COUNTIF('Research Data'!A:A,A14)</f>
        <v>32</v>
      </c>
    </row>
    <row r="15" customFormat="false" ht="15" hidden="false" customHeight="false" outlineLevel="0" collapsed="false">
      <c r="A15" s="44" t="s">
        <v>59</v>
      </c>
      <c r="B15" s="45" t="n">
        <f aca="false">AVERAGE(B5:B14)</f>
        <v>3.0618125</v>
      </c>
      <c r="C15" s="45" t="n">
        <f aca="false">AVERAGE(C5:C14)</f>
        <v>9.6881875</v>
      </c>
      <c r="D15" s="45" t="n">
        <f aca="false">AVERAGE(D5:D14)</f>
        <v>12.02671875</v>
      </c>
      <c r="E15" s="46" t="n">
        <f aca="false">SUM(E5:E14)</f>
        <v>303289.7</v>
      </c>
      <c r="F15" s="45" t="n">
        <f aca="false">AVERAGE(F5:F14)</f>
        <v>0.67288125</v>
      </c>
      <c r="G15" s="45" t="n">
        <f aca="false">AVERAGE(G5:G14)</f>
        <v>2.09834375</v>
      </c>
      <c r="H15" s="46" t="n">
        <f aca="false">SUM(H5:H14)</f>
        <v>320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7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9" min="9" style="0" width="18"/>
    <col collapsed="false" customWidth="true" hidden="false" outlineLevel="0" max="12" min="10" style="0" width="14"/>
  </cols>
  <sheetData>
    <row r="1" customFormat="false" ht="36" hidden="false" customHeight="true" outlineLevel="0" collapsed="false">
      <c r="A1" s="37" t="s">
        <v>60</v>
      </c>
      <c r="B1" s="37"/>
      <c r="C1" s="37"/>
      <c r="D1" s="37"/>
      <c r="E1" s="37"/>
      <c r="F1" s="37"/>
      <c r="G1" s="37"/>
    </row>
    <row r="2" customFormat="false" ht="21.75" hidden="false" customHeight="true" outlineLevel="0" collapsed="false">
      <c r="A2" s="2" t="s">
        <v>61</v>
      </c>
      <c r="B2" s="2"/>
      <c r="C2" s="2"/>
      <c r="D2" s="2"/>
      <c r="E2" s="2"/>
      <c r="F2" s="2"/>
      <c r="G2" s="2"/>
    </row>
    <row r="4" customFormat="false" ht="36" hidden="false" customHeight="true" outlineLevel="0" collapsed="false">
      <c r="A4" s="38" t="s">
        <v>14</v>
      </c>
      <c r="B4" s="38" t="s">
        <v>5</v>
      </c>
      <c r="C4" s="38" t="s">
        <v>55</v>
      </c>
      <c r="D4" s="38" t="s">
        <v>56</v>
      </c>
      <c r="E4" s="38" t="s">
        <v>6</v>
      </c>
      <c r="F4" s="38" t="s">
        <v>12</v>
      </c>
      <c r="G4" s="38" t="s">
        <v>62</v>
      </c>
      <c r="I4" s="44" t="s">
        <v>63</v>
      </c>
      <c r="J4" s="44"/>
      <c r="K4" s="44"/>
      <c r="L4" s="47"/>
    </row>
    <row r="5" customFormat="false" ht="30" hidden="false" customHeight="true" outlineLevel="0" collapsed="false">
      <c r="A5" s="18" t="n">
        <v>2021</v>
      </c>
      <c r="B5" s="19" t="n">
        <f aca="false">AVERAGEIF('Research Data'!C:C,A5,'Research Data'!D:D)</f>
        <v>3.379</v>
      </c>
      <c r="C5" s="19" t="n">
        <f aca="false">AVERAGEIF('Research Data'!C:C,A5,'Research Data'!E:E)</f>
        <v>9.177875</v>
      </c>
      <c r="D5" s="19" t="n">
        <f aca="false">AVERAGEIF('Research Data'!C:C,A5,'Research Data'!F:F)</f>
        <v>11.801</v>
      </c>
      <c r="E5" s="39" t="n">
        <f aca="false">SUMIF('Research Data'!C:C,A5,'Research Data'!G:G)</f>
        <v>73184.8</v>
      </c>
      <c r="F5" s="20" t="n">
        <f aca="false">AVERAGEIF('Research Data'!C:C,A5,'Research Data'!J:J)</f>
        <v>0.671775</v>
      </c>
      <c r="G5" s="39" t="n">
        <f aca="false">COUNTIF('Research Data'!C:C,A5)</f>
        <v>80</v>
      </c>
      <c r="I5" s="48" t="s">
        <v>64</v>
      </c>
      <c r="J5" s="48" t="s">
        <v>65</v>
      </c>
      <c r="K5" s="48" t="s">
        <v>66</v>
      </c>
      <c r="L5" s="48" t="s">
        <v>67</v>
      </c>
    </row>
    <row r="6" customFormat="false" ht="15" hidden="false" customHeight="false" outlineLevel="0" collapsed="false">
      <c r="A6" s="25" t="n">
        <v>2022</v>
      </c>
      <c r="B6" s="26" t="n">
        <f aca="false">AVERAGEIF('Research Data'!C:C,A6,'Research Data'!D:D)</f>
        <v>2.443375</v>
      </c>
      <c r="C6" s="26" t="n">
        <f aca="false">AVERAGEIF('Research Data'!C:C,A6,'Research Data'!E:E)</f>
        <v>10.085875</v>
      </c>
      <c r="D6" s="26" t="n">
        <f aca="false">AVERAGEIF('Research Data'!C:C,A6,'Research Data'!F:F)</f>
        <v>11.97775</v>
      </c>
      <c r="E6" s="49" t="n">
        <f aca="false">SUMIF('Research Data'!C:C,A6,'Research Data'!G:G)</f>
        <v>80837.1</v>
      </c>
      <c r="F6" s="27" t="n">
        <f aca="false">AVERAGEIF('Research Data'!C:C,A6,'Research Data'!J:J)</f>
        <v>0.6785</v>
      </c>
      <c r="G6" s="49" t="n">
        <f aca="false">COUNTIF('Research Data'!C:C,A6)</f>
        <v>80</v>
      </c>
      <c r="I6" s="18" t="s">
        <v>68</v>
      </c>
      <c r="J6" s="50" t="n">
        <f aca="false">IFERROR(B6-B5,"-")</f>
        <v>-0.935625</v>
      </c>
      <c r="K6" s="50" t="n">
        <f aca="false">IFERROR(B7-B6,"-")</f>
        <v>1.00675</v>
      </c>
      <c r="L6" s="50" t="n">
        <f aca="false">IFERROR(B8-B7,"-")</f>
        <v>-0.475375</v>
      </c>
    </row>
    <row r="7" customFormat="false" ht="15" hidden="false" customHeight="false" outlineLevel="0" collapsed="false">
      <c r="A7" s="18" t="n">
        <v>2023</v>
      </c>
      <c r="B7" s="19" t="n">
        <f aca="false">AVERAGEIF('Research Data'!C:C,A7,'Research Data'!D:D)</f>
        <v>3.450125</v>
      </c>
      <c r="C7" s="19" t="n">
        <f aca="false">AVERAGEIF('Research Data'!C:C,A7,'Research Data'!E:E)</f>
        <v>10.6305</v>
      </c>
      <c r="D7" s="19" t="n">
        <f aca="false">AVERAGEIF('Research Data'!C:C,A7,'Research Data'!F:F)</f>
        <v>12.30525</v>
      </c>
      <c r="E7" s="39" t="n">
        <f aca="false">SUMIF('Research Data'!C:C,A7,'Research Data'!G:G)</f>
        <v>72922</v>
      </c>
      <c r="F7" s="20" t="n">
        <f aca="false">AVERAGEIF('Research Data'!C:C,A7,'Research Data'!J:J)</f>
        <v>0.677075</v>
      </c>
      <c r="G7" s="39" t="n">
        <f aca="false">COUNTIF('Research Data'!C:C,A7)</f>
        <v>80</v>
      </c>
      <c r="I7" s="40" t="s">
        <v>69</v>
      </c>
      <c r="J7" s="51" t="n">
        <f aca="false">IFERROR(C6-C5,"-")</f>
        <v>0.908</v>
      </c>
      <c r="K7" s="51" t="n">
        <f aca="false">IFERROR(C7-C6,"-")</f>
        <v>0.544625</v>
      </c>
      <c r="L7" s="51" t="n">
        <f aca="false">IFERROR(C8-C7,"-")</f>
        <v>-1.772</v>
      </c>
    </row>
    <row r="8" customFormat="false" ht="15" hidden="false" customHeight="false" outlineLevel="0" collapsed="false">
      <c r="A8" s="25" t="n">
        <v>2024</v>
      </c>
      <c r="B8" s="26" t="n">
        <f aca="false">AVERAGEIF('Research Data'!C:C,A8,'Research Data'!D:D)</f>
        <v>2.97475</v>
      </c>
      <c r="C8" s="26" t="n">
        <f aca="false">AVERAGEIF('Research Data'!C:C,A8,'Research Data'!E:E)</f>
        <v>8.8585</v>
      </c>
      <c r="D8" s="26" t="n">
        <f aca="false">AVERAGEIF('Research Data'!C:C,A8,'Research Data'!F:F)</f>
        <v>12.022875</v>
      </c>
      <c r="E8" s="49" t="n">
        <f aca="false">SUMIF('Research Data'!C:C,A8,'Research Data'!G:G)</f>
        <v>76345.8</v>
      </c>
      <c r="F8" s="27" t="n">
        <f aca="false">AVERAGEIF('Research Data'!C:C,A8,'Research Data'!J:J)</f>
        <v>0.664175</v>
      </c>
      <c r="G8" s="49" t="n">
        <f aca="false">COUNTIF('Research Data'!C:C,A8)</f>
        <v>80</v>
      </c>
      <c r="I8" s="18" t="s">
        <v>70</v>
      </c>
      <c r="J8" s="50" t="n">
        <f aca="false">IFERROR(D6-D5,"-")</f>
        <v>0.17675</v>
      </c>
      <c r="K8" s="50" t="n">
        <f aca="false">IFERROR(D7-D6,"-")</f>
        <v>0.327499999999999</v>
      </c>
      <c r="L8" s="50" t="n">
        <f aca="false">IFERROR(D8-D7,"-")</f>
        <v>-0.282374999999998</v>
      </c>
    </row>
    <row r="9" customFormat="false" ht="15" hidden="false" customHeight="false" outlineLevel="0" collapsed="false">
      <c r="I9" s="40" t="s">
        <v>71</v>
      </c>
      <c r="J9" s="51" t="n">
        <f aca="false">IFERROR(F6-F5,"-")</f>
        <v>0.00672499999999998</v>
      </c>
      <c r="K9" s="51" t="n">
        <f aca="false">IFERROR(F7-F6,"-")</f>
        <v>-0.00142500000000001</v>
      </c>
      <c r="L9" s="51" t="n">
        <f aca="false">IFERROR(F8-F7,"-")</f>
        <v>-0.0129</v>
      </c>
    </row>
    <row r="10" customFormat="false" ht="15" hidden="false" customHeight="false" outlineLevel="0" collapsed="false">
      <c r="I10" s="47"/>
      <c r="J10" s="47"/>
      <c r="K10" s="47"/>
      <c r="L10" s="47"/>
    </row>
  </sheetData>
  <mergeCells count="3">
    <mergeCell ref="A1:G1"/>
    <mergeCell ref="A2:G2"/>
    <mergeCell ref="I4:K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6" min="3" style="0" width="12"/>
  </cols>
  <sheetData>
    <row r="1" customFormat="false" ht="36" hidden="false" customHeight="true" outlineLevel="0" collapsed="false">
      <c r="A1" s="37" t="s">
        <v>72</v>
      </c>
      <c r="B1" s="37"/>
      <c r="C1" s="37"/>
      <c r="D1" s="37"/>
      <c r="E1" s="37"/>
      <c r="F1" s="37"/>
    </row>
    <row r="2" customFormat="false" ht="21.75" hidden="false" customHeight="true" outlineLevel="0" collapsed="false">
      <c r="A2" s="2" t="s">
        <v>73</v>
      </c>
      <c r="B2" s="2"/>
      <c r="C2" s="2"/>
      <c r="D2" s="2"/>
      <c r="E2" s="2"/>
      <c r="F2" s="2"/>
    </row>
    <row r="4" customFormat="false" ht="27.75" hidden="false" customHeight="true" outlineLevel="0" collapsed="false">
      <c r="A4" s="12" t="s">
        <v>10</v>
      </c>
      <c r="B4" s="12" t="s">
        <v>2</v>
      </c>
      <c r="C4" s="12" t="s">
        <v>31</v>
      </c>
      <c r="D4" s="12" t="s">
        <v>35</v>
      </c>
      <c r="E4" s="12" t="s">
        <v>38</v>
      </c>
      <c r="F4" s="12" t="s">
        <v>32</v>
      </c>
    </row>
    <row r="5" customFormat="false" ht="15" hidden="false" customHeight="false" outlineLevel="0" collapsed="false">
      <c r="A5" s="39" t="s">
        <v>28</v>
      </c>
      <c r="B5" s="39" t="n">
        <f aca="false">COUNTIF('Research Data'!A:A,A5)</f>
        <v>32</v>
      </c>
      <c r="C5" s="39" t="n">
        <f aca="false">COUNTIFS('Research Data'!A:A,A5,'Research Data'!M:M,"Excellent")</f>
        <v>8</v>
      </c>
      <c r="D5" s="39" t="n">
        <f aca="false">COUNTIFS('Research Data'!A:A,A5,'Research Data'!M:M,"Good")</f>
        <v>7</v>
      </c>
      <c r="E5" s="39" t="n">
        <f aca="false">COUNTIFS('Research Data'!A:A,A5,'Research Data'!M:M,"Fair")</f>
        <v>5</v>
      </c>
      <c r="F5" s="39" t="n">
        <f aca="false">COUNTIFS('Research Data'!A:A,A5,'Research Data'!M:M,"Poor")</f>
        <v>12</v>
      </c>
    </row>
    <row r="6" customFormat="false" ht="15" hidden="false" customHeight="false" outlineLevel="0" collapsed="false">
      <c r="A6" s="42" t="s">
        <v>44</v>
      </c>
      <c r="B6" s="42" t="n">
        <f aca="false">COUNTIF('Research Data'!A:A,A6)</f>
        <v>32</v>
      </c>
      <c r="C6" s="42" t="n">
        <f aca="false">COUNTIFS('Research Data'!A:A,A6,'Research Data'!M:M,"Excellent")</f>
        <v>9</v>
      </c>
      <c r="D6" s="42" t="n">
        <f aca="false">COUNTIFS('Research Data'!A:A,A6,'Research Data'!M:M,"Good")</f>
        <v>11</v>
      </c>
      <c r="E6" s="42" t="n">
        <f aca="false">COUNTIFS('Research Data'!A:A,A6,'Research Data'!M:M,"Fair")</f>
        <v>6</v>
      </c>
      <c r="F6" s="42" t="n">
        <f aca="false">COUNTIFS('Research Data'!A:A,A6,'Research Data'!M:M,"Poor")</f>
        <v>6</v>
      </c>
    </row>
    <row r="7" customFormat="false" ht="15" hidden="false" customHeight="false" outlineLevel="0" collapsed="false">
      <c r="A7" s="39" t="s">
        <v>45</v>
      </c>
      <c r="B7" s="39" t="n">
        <f aca="false">COUNTIF('Research Data'!A:A,A7)</f>
        <v>32</v>
      </c>
      <c r="C7" s="39" t="n">
        <f aca="false">COUNTIFS('Research Data'!A:A,A7,'Research Data'!M:M,"Excellent")</f>
        <v>10</v>
      </c>
      <c r="D7" s="39" t="n">
        <f aca="false">COUNTIFS('Research Data'!A:A,A7,'Research Data'!M:M,"Good")</f>
        <v>9</v>
      </c>
      <c r="E7" s="39" t="n">
        <f aca="false">COUNTIFS('Research Data'!A:A,A7,'Research Data'!M:M,"Fair")</f>
        <v>8</v>
      </c>
      <c r="F7" s="39" t="n">
        <f aca="false">COUNTIFS('Research Data'!A:A,A7,'Research Data'!M:M,"Poor")</f>
        <v>5</v>
      </c>
    </row>
    <row r="8" customFormat="false" ht="15" hidden="false" customHeight="false" outlineLevel="0" collapsed="false">
      <c r="A8" s="42" t="s">
        <v>46</v>
      </c>
      <c r="B8" s="42" t="n">
        <f aca="false">COUNTIF('Research Data'!A:A,A8)</f>
        <v>32</v>
      </c>
      <c r="C8" s="42" t="n">
        <f aca="false">COUNTIFS('Research Data'!A:A,A8,'Research Data'!M:M,"Excellent")</f>
        <v>9</v>
      </c>
      <c r="D8" s="42" t="n">
        <f aca="false">COUNTIFS('Research Data'!A:A,A8,'Research Data'!M:M,"Good")</f>
        <v>10</v>
      </c>
      <c r="E8" s="42" t="n">
        <f aca="false">COUNTIFS('Research Data'!A:A,A8,'Research Data'!M:M,"Fair")</f>
        <v>8</v>
      </c>
      <c r="F8" s="42" t="n">
        <f aca="false">COUNTIFS('Research Data'!A:A,A8,'Research Data'!M:M,"Poor")</f>
        <v>5</v>
      </c>
    </row>
    <row r="9" customFormat="false" ht="15" hidden="false" customHeight="false" outlineLevel="0" collapsed="false">
      <c r="A9" s="39" t="s">
        <v>47</v>
      </c>
      <c r="B9" s="39" t="n">
        <f aca="false">COUNTIF('Research Data'!A:A,A9)</f>
        <v>32</v>
      </c>
      <c r="C9" s="39" t="n">
        <f aca="false">COUNTIFS('Research Data'!A:A,A9,'Research Data'!M:M,"Excellent")</f>
        <v>13</v>
      </c>
      <c r="D9" s="39" t="n">
        <f aca="false">COUNTIFS('Research Data'!A:A,A9,'Research Data'!M:M,"Good")</f>
        <v>5</v>
      </c>
      <c r="E9" s="39" t="n">
        <f aca="false">COUNTIFS('Research Data'!A:A,A9,'Research Data'!M:M,"Fair")</f>
        <v>5</v>
      </c>
      <c r="F9" s="39" t="n">
        <f aca="false">COUNTIFS('Research Data'!A:A,A9,'Research Data'!M:M,"Poor")</f>
        <v>9</v>
      </c>
    </row>
    <row r="10" customFormat="false" ht="15" hidden="false" customHeight="false" outlineLevel="0" collapsed="false">
      <c r="A10" s="42" t="s">
        <v>48</v>
      </c>
      <c r="B10" s="42" t="n">
        <f aca="false">COUNTIF('Research Data'!A:A,A10)</f>
        <v>32</v>
      </c>
      <c r="C10" s="42" t="n">
        <f aca="false">COUNTIFS('Research Data'!A:A,A10,'Research Data'!M:M,"Excellent")</f>
        <v>10</v>
      </c>
      <c r="D10" s="42" t="n">
        <f aca="false">COUNTIFS('Research Data'!A:A,A10,'Research Data'!M:M,"Good")</f>
        <v>8</v>
      </c>
      <c r="E10" s="42" t="n">
        <f aca="false">COUNTIFS('Research Data'!A:A,A10,'Research Data'!M:M,"Fair")</f>
        <v>7</v>
      </c>
      <c r="F10" s="42" t="n">
        <f aca="false">COUNTIFS('Research Data'!A:A,A10,'Research Data'!M:M,"Poor")</f>
        <v>7</v>
      </c>
    </row>
    <row r="11" customFormat="false" ht="15" hidden="false" customHeight="false" outlineLevel="0" collapsed="false">
      <c r="A11" s="39" t="s">
        <v>49</v>
      </c>
      <c r="B11" s="39" t="n">
        <f aca="false">COUNTIF('Research Data'!A:A,A11)</f>
        <v>32</v>
      </c>
      <c r="C11" s="39" t="n">
        <f aca="false">COUNTIFS('Research Data'!A:A,A11,'Research Data'!M:M,"Excellent")</f>
        <v>10</v>
      </c>
      <c r="D11" s="39" t="n">
        <f aca="false">COUNTIFS('Research Data'!A:A,A11,'Research Data'!M:M,"Good")</f>
        <v>9</v>
      </c>
      <c r="E11" s="39" t="n">
        <f aca="false">COUNTIFS('Research Data'!A:A,A11,'Research Data'!M:M,"Fair")</f>
        <v>6</v>
      </c>
      <c r="F11" s="39" t="n">
        <f aca="false">COUNTIFS('Research Data'!A:A,A11,'Research Data'!M:M,"Poor")</f>
        <v>7</v>
      </c>
    </row>
    <row r="12" customFormat="false" ht="15" hidden="false" customHeight="false" outlineLevel="0" collapsed="false">
      <c r="A12" s="42" t="s">
        <v>50</v>
      </c>
      <c r="B12" s="42" t="n">
        <f aca="false">COUNTIF('Research Data'!A:A,A12)</f>
        <v>32</v>
      </c>
      <c r="C12" s="42" t="n">
        <f aca="false">COUNTIFS('Research Data'!A:A,A12,'Research Data'!M:M,"Excellent")</f>
        <v>7</v>
      </c>
      <c r="D12" s="42" t="n">
        <f aca="false">COUNTIFS('Research Data'!A:A,A12,'Research Data'!M:M,"Good")</f>
        <v>10</v>
      </c>
      <c r="E12" s="42" t="n">
        <f aca="false">COUNTIFS('Research Data'!A:A,A12,'Research Data'!M:M,"Fair")</f>
        <v>6</v>
      </c>
      <c r="F12" s="42" t="n">
        <f aca="false">COUNTIFS('Research Data'!A:A,A12,'Research Data'!M:M,"Poor")</f>
        <v>9</v>
      </c>
    </row>
    <row r="13" customFormat="false" ht="15" hidden="false" customHeight="false" outlineLevel="0" collapsed="false">
      <c r="A13" s="39" t="s">
        <v>51</v>
      </c>
      <c r="B13" s="39" t="n">
        <f aca="false">COUNTIF('Research Data'!A:A,A13)</f>
        <v>32</v>
      </c>
      <c r="C13" s="39" t="n">
        <f aca="false">COUNTIFS('Research Data'!A:A,A13,'Research Data'!M:M,"Excellent")</f>
        <v>8</v>
      </c>
      <c r="D13" s="39" t="n">
        <f aca="false">COUNTIFS('Research Data'!A:A,A13,'Research Data'!M:M,"Good")</f>
        <v>8</v>
      </c>
      <c r="E13" s="39" t="n">
        <f aca="false">COUNTIFS('Research Data'!A:A,A13,'Research Data'!M:M,"Fair")</f>
        <v>10</v>
      </c>
      <c r="F13" s="39" t="n">
        <f aca="false">COUNTIFS('Research Data'!A:A,A13,'Research Data'!M:M,"Poor")</f>
        <v>6</v>
      </c>
    </row>
    <row r="14" customFormat="false" ht="15" hidden="false" customHeight="false" outlineLevel="0" collapsed="false">
      <c r="A14" s="42" t="s">
        <v>52</v>
      </c>
      <c r="B14" s="42" t="n">
        <f aca="false">COUNTIF('Research Data'!A:A,A14)</f>
        <v>32</v>
      </c>
      <c r="C14" s="42" t="n">
        <f aca="false">COUNTIFS('Research Data'!A:A,A14,'Research Data'!M:M,"Excellent")</f>
        <v>9</v>
      </c>
      <c r="D14" s="42" t="n">
        <f aca="false">COUNTIFS('Research Data'!A:A,A14,'Research Data'!M:M,"Good")</f>
        <v>4</v>
      </c>
      <c r="E14" s="42" t="n">
        <f aca="false">COUNTIFS('Research Data'!A:A,A14,'Research Data'!M:M,"Fair")</f>
        <v>8</v>
      </c>
      <c r="F14" s="42" t="n">
        <f aca="false">COUNTIFS('Research Data'!A:A,A14,'Research Data'!M:M,"Poor")</f>
        <v>11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2026-06-27T20:38:26Z</dcterms:created>
  <dc:creator>openpyxl</dc:creator>
  <dc:description/>
  <dc:language>en-US</dc:language>
  <cp:lastModifiedBy/>
  <dcterms:modified xsi:type="dcterms:W3CDTF">2026-06-27T20:38:31Z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