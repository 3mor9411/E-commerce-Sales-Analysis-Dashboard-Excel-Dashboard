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Sales Data" sheetId="2" state="visible" r:id="rId4"/>
    <sheet name="Monthly Summary" sheetId="3" state="visible" r:id="rId5"/>
    <sheet name="Category Analysis" sheetId="4" state="visible" r:id="rId6"/>
    <sheet name="Region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<sst xmlns="http://schemas.openxmlformats.org/spreadsheetml/2006/main" count="1162" uniqueCount="56">
  <si>
    <t xml:space="preserve">🏪  E-COMMERCE SALES PERFORMANCE DASHBOARD  |  FY 2024</t>
  </si>
  <si>
    <t xml:space="preserve">Prepared by: Omer Abdalla  |  Data Analyst &amp; Banking Professional  |  June 2026</t>
  </si>
  <si>
    <t xml:space="preserve">Total Revenue</t>
  </si>
  <si>
    <t xml:space="preserve">Net Revenue</t>
  </si>
  <si>
    <t xml:space="preserve">Gross Profit</t>
  </si>
  <si>
    <t xml:space="preserve">GP Margin %</t>
  </si>
  <si>
    <t xml:space="preserve">Total Units Sold</t>
  </si>
  <si>
    <t xml:space="preserve">Total Returns</t>
  </si>
  <si>
    <t xml:space="preserve">TOP CATEGORIES BY REVENUE</t>
  </si>
  <si>
    <t xml:space="preserve">REGIONAL PERFORMANCE OVERVIEW</t>
  </si>
  <si>
    <t xml:space="preserve">Category</t>
  </si>
  <si>
    <t xml:space="preserve">Revenue ($)</t>
  </si>
  <si>
    <t xml:space="preserve">GP ($)</t>
  </si>
  <si>
    <t xml:space="preserve">Margin %</t>
  </si>
  <si>
    <t xml:space="preserve">Region</t>
  </si>
  <si>
    <t xml:space="preserve">© 2026 Omer Abdalla | Data Analysis &amp; Banking Professional | github.com/3mor9411</t>
  </si>
  <si>
    <t xml:space="preserve">Month</t>
  </si>
  <si>
    <t xml:space="preserve">Units Sold</t>
  </si>
  <si>
    <t xml:space="preserve">Unit Price ($)</t>
  </si>
  <si>
    <t xml:space="preserve">COGS ($)</t>
  </si>
  <si>
    <t xml:space="preserve">Gross Profit ($)</t>
  </si>
  <si>
    <t xml:space="preserve">Returns</t>
  </si>
  <si>
    <t xml:space="preserve">Net Revenue ($)</t>
  </si>
  <si>
    <t xml:space="preserve">Jan</t>
  </si>
  <si>
    <t xml:space="preserve">Electronics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</si>
  <si>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</si>
  <si>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</si>
  <si>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</si>
  <si>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</si>
  <si>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</si>
  <si>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Clothing</t>
  </si>
  <si>
    <t xml:space="preserve">Home &amp; Garden</t>
  </si>
  <si>
    <t xml:space="preserve">Sports</t>
  </si>
  <si>
    <t xml:space="preserve">Beauty</t>
  </si>
  <si>
    <t xml:space="preserve">Books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</si>
  <si>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</si>
  <si>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</si>
  <si>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</si>
  <si>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</si>
  <si>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</si>
  <si>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</si>
  <si>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</si>
  <si>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</si>
  <si>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</si>
  <si>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</si>
  <si>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</si>
  <si>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📊  MONTHLY SALES SUMMARY — 2024</t>
  </si>
  <si>
    <t xml:space="preserve">E-Commerce Sales Performance Dashboard  |  Prepared by: Omer Abdalla</t>
  </si>
  <si>
    <t xml:space="preserve">Total Units</t>
  </si>
  <si>
    <t xml:space="preserve">Total Revenue ($)</t>
  </si>
  <si>
    <t xml:space="preserve">Total COGS ($)</t>
  </si>
  <si>
    <t xml:space="preserve">TOTAL</t>
  </si>
  <si>
    <t xml:space="preserve">📦  SALES PERFORMANCE BY CATEGORY — 2024</t>
  </si>
  <si>
    <t xml:space="preserve">Category breakdown of revenue, profit and returns</t>
  </si>
  <si>
    <t xml:space="preserve">🌍  SALES PERFORMANCE BY REGION — 2024</t>
  </si>
  <si>
    <t xml:space="preserve">Regional breakdown to identify top-performing markets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</si>
</sst>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79646"/>
      </patternFill>
    </fill>
    <fill>
      <patternFill patternType="solid">
        <fgColor rgb="FFFFD966"/>
        <bgColor rgb="FFFFFF99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rgb="FF595959"/>
        <bgColor rgb="FF8064A2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CCCCC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4BACC6"/>
      <rgbColor rgb="FF9BBB59"/>
      <rgbColor rgb="FFFFCC00"/>
      <rgbColor rgb="FFF79646"/>
      <rgbColor rgb="FFED7D31"/>
      <rgbColor rgb="FF8064A2"/>
      <rgbColor rgb="FF70AD47"/>
      <rgbColor rgb="FF1F3864"/>
      <rgbColor rgb="FF4A7EBB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Net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Summary'!$C$4:$C$16</c:f>
              <c:numCache>
                <c:formatCode>#,##0</c:formatCode>
                <c:ptCount val="13"/>
                <c:pt idx="1">
                  <c:v>862650.45</c:v>
                </c:pt>
                <c:pt idx="2">
                  <c:v>1044200.31</c:v>
                </c:pt>
                <c:pt idx="3">
                  <c:v>863686.64</c:v>
                </c:pt>
                <c:pt idx="4">
                  <c:v>1028159.03</c:v>
                </c:pt>
                <c:pt idx="5">
                  <c:v>1336522.09</c:v>
                </c:pt>
                <c:pt idx="6">
                  <c:v>1326786.04</c:v>
                </c:pt>
                <c:pt idx="7">
                  <c:v>983369.15</c:v>
                </c:pt>
                <c:pt idx="8">
                  <c:v>1172859.54</c:v>
                </c:pt>
                <c:pt idx="9">
                  <c:v>1241687.04</c:v>
                </c:pt>
                <c:pt idx="10">
                  <c:v>1363939.87</c:v>
                </c:pt>
                <c:pt idx="11">
                  <c:v>1111875.33</c:v>
                </c:pt>
                <c:pt idx="12">
                  <c:v>967790.2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Summary'!$H$4:$H$16</c:f>
              <c:numCache>
                <c:formatCode>#,##0</c:formatCode>
                <c:ptCount val="13"/>
                <c:pt idx="1">
                  <c:v>843725.79</c:v>
                </c:pt>
                <c:pt idx="2">
                  <c:v>1021990.88</c:v>
                </c:pt>
                <c:pt idx="3">
                  <c:v>845339.24</c:v>
                </c:pt>
                <c:pt idx="4">
                  <c:v>1008481.78</c:v>
                </c:pt>
                <c:pt idx="5">
                  <c:v>1303942.45</c:v>
                </c:pt>
                <c:pt idx="6">
                  <c:v>1296803.09</c:v>
                </c:pt>
                <c:pt idx="7">
                  <c:v>956565.51</c:v>
                </c:pt>
                <c:pt idx="8">
                  <c:v>1149658.19</c:v>
                </c:pt>
                <c:pt idx="9">
                  <c:v>1205970.31</c:v>
                </c:pt>
                <c:pt idx="10">
                  <c:v>1332309.59</c:v>
                </c:pt>
                <c:pt idx="11">
                  <c:v>1089373.34</c:v>
                </c:pt>
                <c:pt idx="12">
                  <c:v>946626.89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029311"/>
        <c:axId val="87335293"/>
      </c:lineChart>
      <c:catAx>
        <c:axId val="420293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35293"/>
        <c:crosses val="autoZero"/>
        <c:auto val="1"/>
        <c:lblAlgn val="ctr"/>
        <c:lblOffset val="100"/>
        <c:noMultiLvlLbl val="0"/>
      </c:catAx>
      <c:valAx>
        <c:axId val="87335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29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Profit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Summary'!F4</c:f>
              <c:strCache>
                <c:ptCount val="1"/>
                <c:pt idx="0">
                  <c:v>GP Margin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Summary'!$F$5:$F$16</c:f>
              <c:numCache>
                <c:formatCode>0.0%</c:formatCode>
                <c:ptCount val="12"/>
                <c:pt idx="0">
                  <c:v>0.468176212045099</c:v>
                </c:pt>
                <c:pt idx="1">
                  <c:v>0.442764185733674</c:v>
                </c:pt>
                <c:pt idx="2">
                  <c:v>0.446645128145087</c:v>
                </c:pt>
                <c:pt idx="3">
                  <c:v>0.4576151901326</c:v>
                </c:pt>
                <c:pt idx="4">
                  <c:v>0.464059969259468</c:v>
                </c:pt>
                <c:pt idx="5">
                  <c:v>0.480554325096758</c:v>
                </c:pt>
                <c:pt idx="6">
                  <c:v>0.488514114968931</c:v>
                </c:pt>
                <c:pt idx="7">
                  <c:v>0.478936233063339</c:v>
                </c:pt>
                <c:pt idx="8">
                  <c:v>0.47113184011327</c:v>
                </c:pt>
                <c:pt idx="9">
                  <c:v>0.482857840353329</c:v>
                </c:pt>
                <c:pt idx="10">
                  <c:v>0.468421904819131</c:v>
                </c:pt>
                <c:pt idx="11">
                  <c:v>0.497951219179529</c:v>
                </c:pt>
              </c:numCache>
            </c:numRef>
          </c:val>
        </c:ser>
        <c:gapWidth val="150"/>
        <c:overlap val="0"/>
        <c:axId val="52134005"/>
        <c:axId val="42953850"/>
      </c:barChart>
      <c:catAx>
        <c:axId val="52134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53850"/>
        <c:crosses val="autoZero"/>
        <c:auto val="1"/>
        <c:lblAlgn val="ctr"/>
        <c:lblOffset val="100"/>
        <c:noMultiLvlLbl val="0"/>
      </c:catAx>
      <c:valAx>
        <c:axId val="42953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GP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340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Analysis'!C4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Analysis'!$A$5:$A$10</c:f>
              <c:strCache>
                <c:ptCount val="6"/>
                <c:pt idx="0">
                  <c:v>Electronics</c:v>
                </c:pt>
                <c:pt idx="1">
                  <c:v>Clothing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  <c:pt idx="5">
                  <c:v>Books</c:v>
                </c:pt>
              </c:strCache>
            </c:strRef>
          </c:cat>
          <c:val>
            <c:numRef>
              <c:f>'Category Analysis'!$C$5:$C$10</c:f>
              <c:numCache>
                <c:formatCode>#,##0</c:formatCode>
                <c:ptCount val="6"/>
                <c:pt idx="0">
                  <c:v>2011117.63</c:v>
                </c:pt>
                <c:pt idx="1">
                  <c:v>2351492.48</c:v>
                </c:pt>
                <c:pt idx="2">
                  <c:v>1979342.05</c:v>
                </c:pt>
                <c:pt idx="3">
                  <c:v>2521901.5</c:v>
                </c:pt>
                <c:pt idx="4">
                  <c:v>2200076.96</c:v>
                </c:pt>
                <c:pt idx="5">
                  <c:v>2239595.07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Analysis'!D4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Analysis'!$A$5:$A$10</c:f>
              <c:strCache>
                <c:ptCount val="6"/>
                <c:pt idx="0">
                  <c:v>Electronics</c:v>
                </c:pt>
                <c:pt idx="1">
                  <c:v>Clothing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  <c:pt idx="5">
                  <c:v>Books</c:v>
                </c:pt>
              </c:strCache>
            </c:strRef>
          </c:cat>
          <c:val>
            <c:numRef>
              <c:f>'Category Analysis'!$D$5:$D$10</c:f>
              <c:numCache>
                <c:formatCode>#,##0</c:formatCode>
                <c:ptCount val="6"/>
                <c:pt idx="0">
                  <c:v>951192.34</c:v>
                </c:pt>
                <c:pt idx="1">
                  <c:v>1120352.74</c:v>
                </c:pt>
                <c:pt idx="2">
                  <c:v>919029.55</c:v>
                </c:pt>
                <c:pt idx="3">
                  <c:v>1199146.37</c:v>
                </c:pt>
                <c:pt idx="4">
                  <c:v>1024688.68</c:v>
                </c:pt>
                <c:pt idx="5">
                  <c:v>1054320.1</c:v>
                </c:pt>
              </c:numCache>
            </c:numRef>
          </c:val>
        </c:ser>
        <c:gapWidth val="150"/>
        <c:overlap val="0"/>
        <c:axId val="86120325"/>
        <c:axId val="25850949"/>
      </c:barChart>
      <c:catAx>
        <c:axId val="86120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50949"/>
        <c:crosses val="autoZero"/>
        <c:auto val="1"/>
        <c:lblAlgn val="ctr"/>
        <c:lblOffset val="100"/>
        <c:noMultiLvlLbl val="0"/>
      </c:catAx>
      <c:valAx>
        <c:axId val="25850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20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Analysis'!C4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 Analysis'!$C$5:$C$9</c:f>
              <c:numCache>
                <c:formatCode>#,##0</c:formatCode>
                <c:ptCount val="5"/>
                <c:pt idx="0">
                  <c:v>2603868.83</c:v>
                </c:pt>
                <c:pt idx="1">
                  <c:v>2512432.97</c:v>
                </c:pt>
                <c:pt idx="2">
                  <c:v>3028926.51</c:v>
                </c:pt>
                <c:pt idx="3">
                  <c:v>2318744.76</c:v>
                </c:pt>
                <c:pt idx="4">
                  <c:v>2839552.62</c:v>
                </c:pt>
              </c:numCache>
            </c:numRef>
          </c:val>
        </c:ser>
        <c:gapWidth val="150"/>
        <c:overlap val="0"/>
        <c:axId val="45441325"/>
        <c:axId val="71722565"/>
      </c:barChart>
      <c:catAx>
        <c:axId val="45441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22565"/>
        <c:crosses val="autoZero"/>
        <c:auto val="1"/>
        <c:lblAlgn val="ctr"/>
        <c:lblOffset val="100"/>
        <c:noMultiLvlLbl val="0"/>
      </c:catAx>
      <c:valAx>
        <c:axId val="71722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41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7</xdr:col>
      <xdr:colOff>871200</xdr:colOff>
      <xdr:row>40</xdr:row>
      <xdr:rowOff>128880</xdr:rowOff>
    </xdr:to>
    <xdr:graphicFrame>
      <xdr:nvGraphicFramePr>
        <xdr:cNvPr id="0" name="Chart 1"/>
        <xdr:cNvGraphicFramePr/>
      </xdr:nvGraphicFramePr>
      <xdr:xfrm>
        <a:off x="0" y="40482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21</xdr:col>
      <xdr:colOff>581400</xdr:colOff>
      <xdr:row>40</xdr:row>
      <xdr:rowOff>128880</xdr:rowOff>
    </xdr:to>
    <xdr:graphicFrame>
      <xdr:nvGraphicFramePr>
        <xdr:cNvPr id="1" name="Chart 2"/>
        <xdr:cNvGraphicFramePr/>
      </xdr:nvGraphicFramePr>
      <xdr:xfrm>
        <a:off x="8928720" y="40482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276840</xdr:colOff>
      <xdr:row>38</xdr:row>
      <xdr:rowOff>86760</xdr:rowOff>
    </xdr:to>
    <xdr:graphicFrame>
      <xdr:nvGraphicFramePr>
        <xdr:cNvPr id="2" name="Chart 1"/>
        <xdr:cNvGraphicFramePr/>
      </xdr:nvGraphicFramePr>
      <xdr:xfrm>
        <a:off x="0" y="290520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19</xdr:col>
      <xdr:colOff>364680</xdr:colOff>
      <xdr:row>38</xdr:row>
      <xdr:rowOff>86760</xdr:rowOff>
    </xdr:to>
    <xdr:graphicFrame>
      <xdr:nvGraphicFramePr>
        <xdr:cNvPr id="3" name="Chart 2"/>
        <xdr:cNvGraphicFramePr/>
      </xdr:nvGraphicFramePr>
      <xdr:xfrm>
        <a:off x="8694360" y="290520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7</xdr:col>
      <xdr:colOff>244440</xdr:colOff>
      <xdr:row>33</xdr:row>
      <xdr:rowOff>128880</xdr:rowOff>
    </xdr:to>
    <xdr:graphicFrame>
      <xdr:nvGraphicFramePr>
        <xdr:cNvPr id="4" name="Chart 1"/>
        <xdr:cNvGraphicFramePr/>
      </xdr:nvGraphicFramePr>
      <xdr:xfrm>
        <a:off x="0" y="27147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25.5" hidden="false" customHeight="true" outlineLevel="0" collapsed="false">
      <c r="A5" s="9" t="n">
        <f aca="false">'Monthly Summary'!C17</f>
        <v>13303525.69</v>
      </c>
      <c r="B5" s="9"/>
      <c r="C5" s="9" t="n">
        <f aca="false">'Monthly Summary'!H17</f>
        <v>13000787.06</v>
      </c>
      <c r="D5" s="9"/>
      <c r="E5" s="9" t="n">
        <f aca="false">'Monthly Summary'!E17</f>
        <v>6268729.78</v>
      </c>
      <c r="F5" s="9"/>
      <c r="G5" s="10" t="n">
        <f aca="false">IFERROR('Monthly Summary'!E17/'Monthly Summary'!C17,0)</f>
        <v>0.471208153843915</v>
      </c>
      <c r="H5" s="10"/>
      <c r="I5" s="9" t="n">
        <f aca="false">'Monthly Summary'!B17</f>
        <v>99864</v>
      </c>
      <c r="J5" s="9"/>
      <c r="K5" s="9" t="n">
        <f aca="false">'Monthly Summary'!G17</f>
        <v>2357</v>
      </c>
      <c r="L5" s="9"/>
    </row>
    <row r="6" customFormat="false" ht="25.5" hidden="false" customHeight="true" outlineLevel="0" collapsed="false">
      <c r="A6" s="9"/>
      <c r="B6" s="9"/>
      <c r="C6" s="9"/>
      <c r="D6" s="9"/>
      <c r="E6" s="9"/>
      <c r="F6" s="9"/>
      <c r="G6" s="10"/>
      <c r="H6" s="10"/>
      <c r="I6" s="9"/>
      <c r="J6" s="9"/>
      <c r="K6" s="9"/>
      <c r="L6" s="9"/>
    </row>
    <row r="7" customFormat="false" ht="9.75" hidden="false" customHeight="true" outlineLevel="0" collapsed="false"/>
    <row r="8" customFormat="false" ht="21.75" hidden="false" customHeight="true" outlineLevel="0" collapsed="false">
      <c r="A8" s="11" t="s">
        <v>8</v>
      </c>
      <c r="B8" s="11"/>
      <c r="C8" s="11"/>
      <c r="D8" s="11"/>
      <c r="F8" s="11" t="s">
        <v>9</v>
      </c>
      <c r="G8" s="11"/>
      <c r="H8" s="11"/>
      <c r="I8" s="11"/>
    </row>
    <row r="9" customFormat="false" ht="15" hidden="false" customHeight="false" outlineLevel="0" collapsed="false">
      <c r="A9" s="12" t="s">
        <v>10</v>
      </c>
      <c r="B9" s="12" t="s">
        <v>11</v>
      </c>
      <c r="C9" s="12" t="s">
        <v>12</v>
      </c>
      <c r="D9" s="12" t="s">
        <v>13</v>
      </c>
      <c r="F9" s="12" t="s">
        <v>14</v>
      </c>
      <c r="G9" s="12" t="s">
        <v>11</v>
      </c>
      <c r="H9" s="12" t="s">
        <v>12</v>
      </c>
      <c r="I9" s="12" t="s">
        <v>13</v>
      </c>
    </row>
    <row r="10" customFormat="false" ht="15" hidden="false" customHeight="false" outlineLevel="0" collapsed="false">
      <c r="A10" s="13" t="str">
        <f aca="false">'Category Analysis'!A5</f>
        <v>Electronics</v>
      </c>
      <c r="B10" s="14" t="n">
        <f aca="false">'Category Analysis'!C5</f>
        <v>2011117.63</v>
      </c>
      <c r="C10" s="14" t="n">
        <f aca="false">'Category Analysis'!D5</f>
        <v>951192.34</v>
      </c>
      <c r="D10" s="15" t="n">
        <f aca="false">'Category Analysis'!E5</f>
        <v>0.472967033758239</v>
      </c>
      <c r="F10" s="13" t="str">
        <f aca="false">'Region Analysis'!A5</f>
        <v>North</v>
      </c>
      <c r="G10" s="14" t="n">
        <f aca="false">'Region Analysis'!C5</f>
        <v>2603868.83</v>
      </c>
      <c r="H10" s="14" t="n">
        <f aca="false">'Region Analysis'!D5</f>
        <v>1242799.03</v>
      </c>
      <c r="I10" s="15" t="n">
        <f aca="false">'Region Analysis'!E5</f>
        <v>0.477289414766719</v>
      </c>
    </row>
    <row r="11" customFormat="false" ht="15" hidden="false" customHeight="false" outlineLevel="0" collapsed="false">
      <c r="A11" s="16" t="str">
        <f aca="false">'Category Analysis'!A6</f>
        <v>Clothing</v>
      </c>
      <c r="B11" s="17" t="n">
        <f aca="false">'Category Analysis'!C6</f>
        <v>2351492.48</v>
      </c>
      <c r="C11" s="17" t="n">
        <f aca="false">'Category Analysis'!D6</f>
        <v>1120352.74</v>
      </c>
      <c r="D11" s="18" t="n">
        <f aca="false">'Category Analysis'!E6</f>
        <v>0.476443258708614</v>
      </c>
      <c r="F11" s="16" t="str">
        <f aca="false">'Region Analysis'!A6</f>
        <v>South</v>
      </c>
      <c r="G11" s="17" t="n">
        <f aca="false">'Region Analysis'!C6</f>
        <v>2512432.97</v>
      </c>
      <c r="H11" s="17" t="n">
        <f aca="false">'Region Analysis'!D6</f>
        <v>1187111.76</v>
      </c>
      <c r="I11" s="18" t="n">
        <f aca="false">'Region Analysis'!E6</f>
        <v>0.472494898042991</v>
      </c>
    </row>
    <row r="12" customFormat="false" ht="15" hidden="false" customHeight="false" outlineLevel="0" collapsed="false">
      <c r="A12" s="13" t="str">
        <f aca="false">'Category Analysis'!A7</f>
        <v>Home &amp; Garden</v>
      </c>
      <c r="B12" s="14" t="n">
        <f aca="false">'Category Analysis'!C7</f>
        <v>1979342.05</v>
      </c>
      <c r="C12" s="14" t="n">
        <f aca="false">'Category Analysis'!D7</f>
        <v>919029.55</v>
      </c>
      <c r="D12" s="15" t="n">
        <f aca="false">'Category Analysis'!E7</f>
        <v>0.464310627867477</v>
      </c>
      <c r="F12" s="13" t="str">
        <f aca="false">'Region Analysis'!A7</f>
        <v>East</v>
      </c>
      <c r="G12" s="14" t="n">
        <f aca="false">'Region Analysis'!C7</f>
        <v>3028926.51</v>
      </c>
      <c r="H12" s="14" t="n">
        <f aca="false">'Region Analysis'!D7</f>
        <v>1402507.11</v>
      </c>
      <c r="I12" s="15" t="n">
        <f aca="false">'Region Analysis'!E7</f>
        <v>0.463037681954192</v>
      </c>
    </row>
    <row r="13" customFormat="false" ht="15" hidden="false" customHeight="false" outlineLevel="0" collapsed="false">
      <c r="A13" s="16" t="str">
        <f aca="false">'Category Analysis'!A8</f>
        <v>Sports</v>
      </c>
      <c r="B13" s="17" t="n">
        <f aca="false">'Category Analysis'!C8</f>
        <v>2521901.5</v>
      </c>
      <c r="C13" s="17" t="n">
        <f aca="false">'Category Analysis'!D8</f>
        <v>1199146.37</v>
      </c>
      <c r="D13" s="18" t="n">
        <f aca="false">'Category Analysis'!E8</f>
        <v>0.475492944510323</v>
      </c>
      <c r="F13" s="16" t="str">
        <f aca="false">'Region Analysis'!A8</f>
        <v>West</v>
      </c>
      <c r="G13" s="17" t="n">
        <f aca="false">'Region Analysis'!C8</f>
        <v>2318744.76</v>
      </c>
      <c r="H13" s="17" t="n">
        <f aca="false">'Region Analysis'!D8</f>
        <v>1106432.44</v>
      </c>
      <c r="I13" s="18" t="n">
        <f aca="false">'Region Analysis'!E8</f>
        <v>0.477168707434621</v>
      </c>
    </row>
    <row r="14" customFormat="false" ht="15" hidden="false" customHeight="false" outlineLevel="0" collapsed="false">
      <c r="A14" s="13" t="str">
        <f aca="false">'Category Analysis'!A9</f>
        <v>Beauty</v>
      </c>
      <c r="B14" s="14" t="n">
        <f aca="false">'Category Analysis'!C9</f>
        <v>2200076.96</v>
      </c>
      <c r="C14" s="14" t="n">
        <f aca="false">'Category Analysis'!D9</f>
        <v>1024688.68</v>
      </c>
      <c r="D14" s="15" t="n">
        <f aca="false">'Category Analysis'!E9</f>
        <v>0.465751288991272</v>
      </c>
      <c r="F14" s="13" t="str">
        <f aca="false">'Region Analysis'!A9</f>
        <v>Central</v>
      </c>
      <c r="G14" s="14" t="n">
        <f aca="false">'Region Analysis'!C9</f>
        <v>2839552.62</v>
      </c>
      <c r="H14" s="14" t="n">
        <f aca="false">'Region Analysis'!D9</f>
        <v>1329879.44</v>
      </c>
      <c r="I14" s="15" t="n">
        <f aca="false">'Region Analysis'!E9</f>
        <v>0.468341185380111</v>
      </c>
    </row>
    <row r="15" customFormat="false" ht="15" hidden="false" customHeight="false" outlineLevel="0" collapsed="false">
      <c r="A15" s="16" t="str">
        <f aca="false">'Category Analysis'!A10</f>
        <v>Books</v>
      </c>
      <c r="B15" s="17" t="n">
        <f aca="false">'Category Analysis'!C10</f>
        <v>2239595.07</v>
      </c>
      <c r="C15" s="17" t="n">
        <f aca="false">'Category Analysis'!D10</f>
        <v>1054320.1</v>
      </c>
      <c r="D15" s="18" t="n">
        <f aca="false">'Category Analysis'!E10</f>
        <v>0.470763717121417</v>
      </c>
    </row>
    <row r="30" customFormat="false" ht="18" hidden="false" customHeight="true" outlineLevel="0" collapsed="false">
      <c r="A30" s="7" t="s">
        <v>15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</sheetData>
  <mergeCells count="17">
    <mergeCell ref="A1:L1"/>
    <mergeCell ref="A2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8:D8"/>
    <mergeCell ref="F8:I8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9" t="s">
        <v>16</v>
      </c>
      <c r="B1" s="19" t="s">
        <v>10</v>
      </c>
      <c r="C1" s="19" t="s">
        <v>14</v>
      </c>
      <c r="D1" s="19" t="s">
        <v>17</v>
      </c>
      <c r="E1" s="19" t="s">
        <v>18</v>
      </c>
      <c r="F1" s="19" t="s">
        <v>11</v>
      </c>
      <c r="G1" s="19" t="s">
        <v>19</v>
      </c>
      <c r="H1" s="19" t="s">
        <v>20</v>
      </c>
      <c r="I1" s="19" t="s">
        <v>21</v>
      </c>
      <c r="J1" s="19" t="s">
        <v>22</v>
      </c>
    </row>
    <row r="2" customFormat="false" ht="15" hidden="false" customHeight="false" outlineLevel="0" collapsed="false">
      <c r="A2" s="20" t="s">
        <v>23</v>
      </c>
      <c r="B2" s="20" t="s">
        <v>24</v>
      </c>
      <c r="C2" s="20" t="s">
        <v>25</v>
      </c>
      <c r="D2" s="20" t="n">
        <v>377</v>
      </c>
      <c r="E2" s="21" t="n">
        <v>36.72</v>
      </c>
      <c r="F2" s="21" t="n">
        <f aca="false">D2*E2</f>
        <v>13843.44</v>
      </c>
      <c r="G2" s="21" t="n">
        <v>8103.78</v>
      </c>
      <c r="H2" s="21" t="n">
        <f aca="false">F2-G2</f>
        <v>5739.66</v>
      </c>
      <c r="I2" s="20" t="n">
        <v>7</v>
      </c>
      <c r="J2" s="21" t="n">
        <f aca="false">F2-I2*E2</f>
        <v>13586.4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26</v>
      </c>
      <c r="D3" s="0" t="n">
        <v>164</v>
      </c>
      <c r="E3" s="22" t="n">
        <v>43.49</v>
      </c>
      <c r="F3" s="22" t="n">
        <f aca="false">D3*E3</f>
        <v>7132.36</v>
      </c>
      <c r="G3" s="22" t="n">
        <v>3035.7</v>
      </c>
      <c r="H3" s="22" t="n">
        <f aca="false">F3-G3</f>
        <v>4096.66</v>
      </c>
      <c r="I3" s="0" t="n">
        <v>8</v>
      </c>
      <c r="J3" s="22" t="n">
        <f aca="false">F3-I3*E3</f>
        <v>6784.44</v>
      </c>
    </row>
    <row r="4" customFormat="false" ht="15" hidden="false" customHeight="false" outlineLevel="0" collapsed="false">
      <c r="A4" s="20" t="s">
        <v>23</v>
      </c>
      <c r="B4" s="20" t="s">
        <v>24</v>
      </c>
      <c r="C4" s="20" t="s">
        <v>27</v>
      </c>
      <c r="D4" s="20" t="n">
        <v>94</v>
      </c>
      <c r="E4" s="21" t="n">
        <v>151.72</v>
      </c>
      <c r="F4" s="21" t="n">
        <f aca="false">D4*E4</f>
        <v>14261.68</v>
      </c>
      <c r="G4" s="21" t="n">
        <v>5817.99</v>
      </c>
      <c r="H4" s="21" t="n">
        <f aca="false">F4-G4</f>
        <v>8443.69</v>
      </c>
      <c r="I4" s="20" t="n">
        <v>0</v>
      </c>
      <c r="J4" s="21" t="n">
        <f aca="false">F4-I4*E4</f>
        <v>14261.68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28</v>
      </c>
      <c r="D5" s="0" t="n">
        <v>161</v>
      </c>
      <c r="E5" s="22" t="n">
        <v>65.84</v>
      </c>
      <c r="F5" s="22" t="n">
        <f aca="false">D5*E5</f>
        <v>10600.24</v>
      </c>
      <c r="G5" s="22" t="n">
        <v>5835.48</v>
      </c>
      <c r="H5" s="22" t="n">
        <f aca="false">F5-G5</f>
        <v>4764.76</v>
      </c>
      <c r="I5" s="0" t="n">
        <v>8</v>
      </c>
      <c r="J5" s="22" t="n">
        <f aca="false">F5-I5*E5</f>
        <v>10073.52</v>
      </c>
    </row>
    <row r="6" customFormat="false" ht="15" hidden="false" customHeight="false" outlineLevel="0" collapsed="false">
      <c r="A6" s="20" t="s">
        <v>23</v>
      </c>
      <c r="B6" s="20" t="s">
        <v>24</v>
      </c>
      <c r="C6" s="20" t="s">
        <v>29</v>
      </c>
      <c r="D6" s="20" t="n">
        <v>151</v>
      </c>
      <c r="E6" s="21" t="n">
        <v>181.84</v>
      </c>
      <c r="F6" s="21" t="n">
        <f aca="false">D6*E6</f>
        <v>27457.84</v>
      </c>
      <c r="G6" s="21" t="n">
        <v>15797.35</v>
      </c>
      <c r="H6" s="21" t="n">
        <f aca="false">F6-G6</f>
        <v>11660.49</v>
      </c>
      <c r="I6" s="20" t="n">
        <v>6</v>
      </c>
      <c r="J6" s="21" t="n">
        <f aca="false">F6-I6*E6</f>
        <v>26366.8</v>
      </c>
    </row>
    <row r="7" customFormat="false" ht="15" hidden="false" customHeight="false" outlineLevel="0" collapsed="false">
      <c r="A7" s="0" t="s">
        <v>23</v>
      </c>
      <c r="B7" s="0" t="s">
        <v>30</v>
      </c>
      <c r="C7" s="0" t="s">
        <v>25</v>
      </c>
      <c r="D7" s="0" t="n">
        <v>162</v>
      </c>
      <c r="E7" s="22" t="n">
        <v>117.81</v>
      </c>
      <c r="F7" s="22" t="n">
        <f aca="false">D7*E7</f>
        <v>19085.22</v>
      </c>
      <c r="G7" s="22" t="n">
        <v>8961.42</v>
      </c>
      <c r="H7" s="22" t="n">
        <f aca="false">F7-G7</f>
        <v>10123.8</v>
      </c>
      <c r="I7" s="0" t="n">
        <v>0</v>
      </c>
      <c r="J7" s="22" t="n">
        <f aca="false">F7-I7*E7</f>
        <v>19085.22</v>
      </c>
    </row>
    <row r="8" customFormat="false" ht="15" hidden="false" customHeight="false" outlineLevel="0" collapsed="false">
      <c r="A8" s="20" t="s">
        <v>23</v>
      </c>
      <c r="B8" s="20" t="s">
        <v>30</v>
      </c>
      <c r="C8" s="20" t="s">
        <v>26</v>
      </c>
      <c r="D8" s="20" t="n">
        <v>438</v>
      </c>
      <c r="E8" s="21" t="n">
        <v>203.4</v>
      </c>
      <c r="F8" s="21" t="n">
        <f aca="false">D8*E8</f>
        <v>89089.2</v>
      </c>
      <c r="G8" s="21" t="n">
        <v>51184.85</v>
      </c>
      <c r="H8" s="21" t="n">
        <f aca="false">F8-G8</f>
        <v>37904.35</v>
      </c>
      <c r="I8" s="20" t="n">
        <v>10</v>
      </c>
      <c r="J8" s="21" t="n">
        <f aca="false">F8-I8*E8</f>
        <v>87055.2</v>
      </c>
    </row>
    <row r="9" customFormat="false" ht="15" hidden="false" customHeight="false" outlineLevel="0" collapsed="false">
      <c r="A9" s="0" t="s">
        <v>23</v>
      </c>
      <c r="B9" s="0" t="s">
        <v>30</v>
      </c>
      <c r="C9" s="0" t="s">
        <v>27</v>
      </c>
      <c r="D9" s="0" t="n">
        <v>192</v>
      </c>
      <c r="E9" s="22" t="n">
        <v>47.32</v>
      </c>
      <c r="F9" s="22" t="n">
        <f aca="false">D9*E9</f>
        <v>9085.44</v>
      </c>
      <c r="G9" s="22" t="n">
        <v>5808.35</v>
      </c>
      <c r="H9" s="22" t="n">
        <f aca="false">F9-G9</f>
        <v>3277.09</v>
      </c>
      <c r="I9" s="0" t="n">
        <v>5</v>
      </c>
      <c r="J9" s="22" t="n">
        <f aca="false">F9-I9*E9</f>
        <v>8848.84</v>
      </c>
    </row>
    <row r="10" customFormat="false" ht="15" hidden="false" customHeight="false" outlineLevel="0" collapsed="false">
      <c r="A10" s="20" t="s">
        <v>23</v>
      </c>
      <c r="B10" s="20" t="s">
        <v>30</v>
      </c>
      <c r="C10" s="20" t="s">
        <v>28</v>
      </c>
      <c r="D10" s="20" t="n">
        <v>102</v>
      </c>
      <c r="E10" s="21" t="n">
        <v>32.26</v>
      </c>
      <c r="F10" s="21" t="n">
        <f aca="false">D10*E10</f>
        <v>3290.52</v>
      </c>
      <c r="G10" s="21" t="n">
        <v>1395.77</v>
      </c>
      <c r="H10" s="21" t="n">
        <f aca="false">F10-G10</f>
        <v>1894.75</v>
      </c>
      <c r="I10" s="20" t="n">
        <v>2</v>
      </c>
      <c r="J10" s="21" t="n">
        <f aca="false">F10-I10*E10</f>
        <v>3226</v>
      </c>
    </row>
    <row r="11" customFormat="false" ht="15" hidden="false" customHeight="false" outlineLevel="0" collapsed="false">
      <c r="A11" s="0" t="s">
        <v>23</v>
      </c>
      <c r="B11" s="0" t="s">
        <v>30</v>
      </c>
      <c r="C11" s="0" t="s">
        <v>29</v>
      </c>
      <c r="D11" s="0" t="n">
        <v>359</v>
      </c>
      <c r="E11" s="22" t="n">
        <v>73.49</v>
      </c>
      <c r="F11" s="22" t="n">
        <f aca="false">D11*E11</f>
        <v>26382.91</v>
      </c>
      <c r="G11" s="22" t="n">
        <v>10839.75</v>
      </c>
      <c r="H11" s="22" t="n">
        <f aca="false">F11-G11</f>
        <v>15543.16</v>
      </c>
      <c r="I11" s="0" t="n">
        <v>14</v>
      </c>
      <c r="J11" s="22" t="n">
        <f aca="false">F11-I11*E11</f>
        <v>25354.05</v>
      </c>
    </row>
    <row r="12" customFormat="false" ht="15" hidden="false" customHeight="false" outlineLevel="0" collapsed="false">
      <c r="A12" s="20" t="s">
        <v>23</v>
      </c>
      <c r="B12" s="20" t="s">
        <v>31</v>
      </c>
      <c r="C12" s="20" t="s">
        <v>25</v>
      </c>
      <c r="D12" s="20" t="n">
        <v>324</v>
      </c>
      <c r="E12" s="21" t="n">
        <v>39.96</v>
      </c>
      <c r="F12" s="21" t="n">
        <f aca="false">D12*E12</f>
        <v>12947.04</v>
      </c>
      <c r="G12" s="21" t="n">
        <v>8164.06</v>
      </c>
      <c r="H12" s="21" t="n">
        <f aca="false">F12-G12</f>
        <v>4782.98</v>
      </c>
      <c r="I12" s="20" t="n">
        <v>2</v>
      </c>
      <c r="J12" s="21" t="n">
        <f aca="false">F12-I12*E12</f>
        <v>12867.12</v>
      </c>
    </row>
    <row r="13" customFormat="false" ht="15" hidden="false" customHeight="false" outlineLevel="0" collapsed="false">
      <c r="A13" s="0" t="s">
        <v>23</v>
      </c>
      <c r="B13" s="0" t="s">
        <v>31</v>
      </c>
      <c r="C13" s="0" t="s">
        <v>26</v>
      </c>
      <c r="D13" s="0" t="n">
        <v>332</v>
      </c>
      <c r="E13" s="22" t="n">
        <v>80.36</v>
      </c>
      <c r="F13" s="22" t="n">
        <f aca="false">D13*E13</f>
        <v>26679.52</v>
      </c>
      <c r="G13" s="22" t="n">
        <v>14864.76</v>
      </c>
      <c r="H13" s="22" t="n">
        <f aca="false">F13-G13</f>
        <v>11814.76</v>
      </c>
      <c r="I13" s="0" t="n">
        <v>11</v>
      </c>
      <c r="J13" s="22" t="n">
        <f aca="false">F13-I13*E13</f>
        <v>25795.56</v>
      </c>
    </row>
    <row r="14" customFormat="false" ht="15" hidden="false" customHeight="false" outlineLevel="0" collapsed="false">
      <c r="A14" s="20" t="s">
        <v>23</v>
      </c>
      <c r="B14" s="20" t="s">
        <v>31</v>
      </c>
      <c r="C14" s="20" t="s">
        <v>27</v>
      </c>
      <c r="D14" s="20" t="n">
        <v>345</v>
      </c>
      <c r="E14" s="21" t="n">
        <v>56.15</v>
      </c>
      <c r="F14" s="21" t="n">
        <f aca="false">D14*E14</f>
        <v>19371.75</v>
      </c>
      <c r="G14" s="21" t="n">
        <v>8085.55</v>
      </c>
      <c r="H14" s="21" t="n">
        <f aca="false">F14-G14</f>
        <v>11286.2</v>
      </c>
      <c r="I14" s="20" t="n">
        <v>7</v>
      </c>
      <c r="J14" s="21" t="n">
        <f aca="false">F14-I14*E14</f>
        <v>18978.7</v>
      </c>
    </row>
    <row r="15" customFormat="false" ht="15" hidden="false" customHeight="false" outlineLevel="0" collapsed="false">
      <c r="A15" s="0" t="s">
        <v>23</v>
      </c>
      <c r="B15" s="0" t="s">
        <v>31</v>
      </c>
      <c r="C15" s="0" t="s">
        <v>28</v>
      </c>
      <c r="D15" s="0" t="n">
        <v>445</v>
      </c>
      <c r="E15" s="22" t="n">
        <v>79.45</v>
      </c>
      <c r="F15" s="22" t="n">
        <f aca="false">D15*E15</f>
        <v>35355.25</v>
      </c>
      <c r="G15" s="22" t="n">
        <v>14847.37</v>
      </c>
      <c r="H15" s="22" t="n">
        <f aca="false">F15-G15</f>
        <v>20507.88</v>
      </c>
      <c r="I15" s="0" t="n">
        <v>7</v>
      </c>
      <c r="J15" s="22" t="n">
        <f aca="false">F15-I15*E15</f>
        <v>34799.1</v>
      </c>
    </row>
    <row r="16" customFormat="false" ht="15" hidden="false" customHeight="false" outlineLevel="0" collapsed="false">
      <c r="A16" s="20" t="s">
        <v>23</v>
      </c>
      <c r="B16" s="20" t="s">
        <v>31</v>
      </c>
      <c r="C16" s="20" t="s">
        <v>29</v>
      </c>
      <c r="D16" s="20" t="n">
        <v>493</v>
      </c>
      <c r="E16" s="21" t="n">
        <v>34.24</v>
      </c>
      <c r="F16" s="21" t="n">
        <f aca="false">D16*E16</f>
        <v>16880.32</v>
      </c>
      <c r="G16" s="21" t="n">
        <v>7925.2</v>
      </c>
      <c r="H16" s="21" t="n">
        <f aca="false">F16-G16</f>
        <v>8955.12</v>
      </c>
      <c r="I16" s="20" t="n">
        <v>20</v>
      </c>
      <c r="J16" s="21" t="n">
        <f aca="false">F16-I16*E16</f>
        <v>16195.52</v>
      </c>
    </row>
    <row r="17" customFormat="false" ht="15" hidden="false" customHeight="false" outlineLevel="0" collapsed="false">
      <c r="A17" s="0" t="s">
        <v>23</v>
      </c>
      <c r="B17" s="0" t="s">
        <v>32</v>
      </c>
      <c r="C17" s="0" t="s">
        <v>25</v>
      </c>
      <c r="D17" s="0" t="n">
        <v>477</v>
      </c>
      <c r="E17" s="22" t="n">
        <v>97.56</v>
      </c>
      <c r="F17" s="22" t="n">
        <f aca="false">D17*E17</f>
        <v>46536.12</v>
      </c>
      <c r="G17" s="22" t="n">
        <v>22921.14</v>
      </c>
      <c r="H17" s="22" t="n">
        <f aca="false">F17-G17</f>
        <v>23614.98</v>
      </c>
      <c r="I17" s="0" t="n">
        <v>6</v>
      </c>
      <c r="J17" s="22" t="n">
        <f aca="false">F17-I17*E17</f>
        <v>45950.76</v>
      </c>
    </row>
    <row r="18" customFormat="false" ht="15" hidden="false" customHeight="false" outlineLevel="0" collapsed="false">
      <c r="A18" s="20" t="s">
        <v>23</v>
      </c>
      <c r="B18" s="20" t="s">
        <v>32</v>
      </c>
      <c r="C18" s="20" t="s">
        <v>26</v>
      </c>
      <c r="D18" s="20" t="n">
        <v>393</v>
      </c>
      <c r="E18" s="21" t="n">
        <v>74.07</v>
      </c>
      <c r="F18" s="21" t="n">
        <f aca="false">D18*E18</f>
        <v>29109.51</v>
      </c>
      <c r="G18" s="21" t="n">
        <v>18460.19</v>
      </c>
      <c r="H18" s="21" t="n">
        <f aca="false">F18-G18</f>
        <v>10649.32</v>
      </c>
      <c r="I18" s="20" t="n">
        <v>2</v>
      </c>
      <c r="J18" s="21" t="n">
        <f aca="false">F18-I18*E18</f>
        <v>28961.37</v>
      </c>
    </row>
    <row r="19" customFormat="false" ht="15" hidden="false" customHeight="false" outlineLevel="0" collapsed="false">
      <c r="A19" s="0" t="s">
        <v>23</v>
      </c>
      <c r="B19" s="0" t="s">
        <v>32</v>
      </c>
      <c r="C19" s="0" t="s">
        <v>27</v>
      </c>
      <c r="D19" s="0" t="n">
        <v>361</v>
      </c>
      <c r="E19" s="22" t="n">
        <v>162.39</v>
      </c>
      <c r="F19" s="22" t="n">
        <f aca="false">D19*E19</f>
        <v>58622.79</v>
      </c>
      <c r="G19" s="22" t="n">
        <v>31277.31</v>
      </c>
      <c r="H19" s="22" t="n">
        <f aca="false">F19-G19</f>
        <v>27345.48</v>
      </c>
      <c r="I19" s="0" t="n">
        <v>7</v>
      </c>
      <c r="J19" s="22" t="n">
        <f aca="false">F19-I19*E19</f>
        <v>57486.06</v>
      </c>
    </row>
    <row r="20" customFormat="false" ht="15" hidden="false" customHeight="false" outlineLevel="0" collapsed="false">
      <c r="A20" s="20" t="s">
        <v>23</v>
      </c>
      <c r="B20" s="20" t="s">
        <v>32</v>
      </c>
      <c r="C20" s="20" t="s">
        <v>28</v>
      </c>
      <c r="D20" s="20" t="n">
        <v>133</v>
      </c>
      <c r="E20" s="21" t="n">
        <v>120.94</v>
      </c>
      <c r="F20" s="21" t="n">
        <f aca="false">D20*E20</f>
        <v>16085.02</v>
      </c>
      <c r="G20" s="21" t="n">
        <v>7519.54</v>
      </c>
      <c r="H20" s="21" t="n">
        <f aca="false">F20-G20</f>
        <v>8565.48</v>
      </c>
      <c r="I20" s="20" t="n">
        <v>5</v>
      </c>
      <c r="J20" s="21" t="n">
        <f aca="false">F20-I20*E20</f>
        <v>15480.32</v>
      </c>
    </row>
    <row r="21" customFormat="false" ht="15" hidden="false" customHeight="false" outlineLevel="0" collapsed="false">
      <c r="A21" s="0" t="s">
        <v>23</v>
      </c>
      <c r="B21" s="0" t="s">
        <v>32</v>
      </c>
      <c r="C21" s="0" t="s">
        <v>29</v>
      </c>
      <c r="D21" s="0" t="n">
        <v>402</v>
      </c>
      <c r="E21" s="22" t="n">
        <v>143.67</v>
      </c>
      <c r="F21" s="22" t="n">
        <f aca="false">D21*E21</f>
        <v>57755.34</v>
      </c>
      <c r="G21" s="22" t="n">
        <v>32987.17</v>
      </c>
      <c r="H21" s="22" t="n">
        <f aca="false">F21-G21</f>
        <v>24768.17</v>
      </c>
      <c r="I21" s="0" t="n">
        <v>1</v>
      </c>
      <c r="J21" s="22" t="n">
        <f aca="false">F21-I21*E21</f>
        <v>57611.67</v>
      </c>
    </row>
    <row r="22" customFormat="false" ht="15" hidden="false" customHeight="false" outlineLevel="0" collapsed="false">
      <c r="A22" s="20" t="s">
        <v>23</v>
      </c>
      <c r="B22" s="20" t="s">
        <v>33</v>
      </c>
      <c r="C22" s="20" t="s">
        <v>25</v>
      </c>
      <c r="D22" s="20" t="n">
        <v>167</v>
      </c>
      <c r="E22" s="21" t="n">
        <v>207.23</v>
      </c>
      <c r="F22" s="21" t="n">
        <f aca="false">D22*E22</f>
        <v>34607.41</v>
      </c>
      <c r="G22" s="21" t="n">
        <v>20808.1</v>
      </c>
      <c r="H22" s="21" t="n">
        <f aca="false">F22-G22</f>
        <v>13799.31</v>
      </c>
      <c r="I22" s="20" t="n">
        <v>6</v>
      </c>
      <c r="J22" s="21" t="n">
        <f aca="false">F22-I22*E22</f>
        <v>33364.03</v>
      </c>
    </row>
    <row r="23" customFormat="false" ht="15" hidden="false" customHeight="false" outlineLevel="0" collapsed="false">
      <c r="A23" s="0" t="s">
        <v>23</v>
      </c>
      <c r="B23" s="0" t="s">
        <v>33</v>
      </c>
      <c r="C23" s="0" t="s">
        <v>26</v>
      </c>
      <c r="D23" s="0" t="n">
        <v>187</v>
      </c>
      <c r="E23" s="22" t="n">
        <v>25.89</v>
      </c>
      <c r="F23" s="22" t="n">
        <f aca="false">D23*E23</f>
        <v>4841.43</v>
      </c>
      <c r="G23" s="22" t="n">
        <v>3041.79</v>
      </c>
      <c r="H23" s="22" t="n">
        <f aca="false">F23-G23</f>
        <v>1799.64</v>
      </c>
      <c r="I23" s="0" t="n">
        <v>9</v>
      </c>
      <c r="J23" s="22" t="n">
        <f aca="false">F23-I23*E23</f>
        <v>4608.42</v>
      </c>
    </row>
    <row r="24" customFormat="false" ht="15" hidden="false" customHeight="false" outlineLevel="0" collapsed="false">
      <c r="A24" s="20" t="s">
        <v>23</v>
      </c>
      <c r="B24" s="20" t="s">
        <v>33</v>
      </c>
      <c r="C24" s="20" t="s">
        <v>27</v>
      </c>
      <c r="D24" s="20" t="n">
        <v>498</v>
      </c>
      <c r="E24" s="21" t="n">
        <v>182.3</v>
      </c>
      <c r="F24" s="21" t="n">
        <f aca="false">D24*E24</f>
        <v>90785.4</v>
      </c>
      <c r="G24" s="21" t="n">
        <v>41140.01</v>
      </c>
      <c r="H24" s="21" t="n">
        <f aca="false">F24-G24</f>
        <v>49645.39</v>
      </c>
      <c r="I24" s="20" t="n">
        <v>15</v>
      </c>
      <c r="J24" s="21" t="n">
        <f aca="false">F24-I24*E24</f>
        <v>88050.9</v>
      </c>
    </row>
    <row r="25" customFormat="false" ht="15" hidden="false" customHeight="false" outlineLevel="0" collapsed="false">
      <c r="A25" s="0" t="s">
        <v>23</v>
      </c>
      <c r="B25" s="0" t="s">
        <v>33</v>
      </c>
      <c r="C25" s="0" t="s">
        <v>28</v>
      </c>
      <c r="D25" s="0" t="n">
        <v>252</v>
      </c>
      <c r="E25" s="22" t="n">
        <v>222.32</v>
      </c>
      <c r="F25" s="22" t="n">
        <f aca="false">D25*E25</f>
        <v>56024.64</v>
      </c>
      <c r="G25" s="22" t="n">
        <v>31413.74</v>
      </c>
      <c r="H25" s="22" t="n">
        <f aca="false">F25-G25</f>
        <v>24610.9</v>
      </c>
      <c r="I25" s="0" t="n">
        <v>2</v>
      </c>
      <c r="J25" s="22" t="n">
        <f aca="false">F25-I25*E25</f>
        <v>55580</v>
      </c>
    </row>
    <row r="26" customFormat="false" ht="15" hidden="false" customHeight="false" outlineLevel="0" collapsed="false">
      <c r="A26" s="20" t="s">
        <v>23</v>
      </c>
      <c r="B26" s="20" t="s">
        <v>33</v>
      </c>
      <c r="C26" s="20" t="s">
        <v>29</v>
      </c>
      <c r="D26" s="20" t="n">
        <v>185</v>
      </c>
      <c r="E26" s="21" t="n">
        <v>43.51</v>
      </c>
      <c r="F26" s="21" t="n">
        <f aca="false">D26*E26</f>
        <v>8049.35</v>
      </c>
      <c r="G26" s="21" t="n">
        <v>4718.91</v>
      </c>
      <c r="H26" s="21" t="n">
        <f aca="false">F26-G26</f>
        <v>3330.44</v>
      </c>
      <c r="I26" s="20" t="n">
        <v>8</v>
      </c>
      <c r="J26" s="21" t="n">
        <f aca="false">F26-I26*E26</f>
        <v>7701.27</v>
      </c>
    </row>
    <row r="27" customFormat="false" ht="15" hidden="false" customHeight="false" outlineLevel="0" collapsed="false">
      <c r="A27" s="0" t="s">
        <v>23</v>
      </c>
      <c r="B27" s="0" t="s">
        <v>34</v>
      </c>
      <c r="C27" s="0" t="s">
        <v>25</v>
      </c>
      <c r="D27" s="0" t="n">
        <v>184</v>
      </c>
      <c r="E27" s="22" t="n">
        <v>189.28</v>
      </c>
      <c r="F27" s="22" t="n">
        <f aca="false">D27*E27</f>
        <v>34827.52</v>
      </c>
      <c r="G27" s="22" t="n">
        <v>17661.33</v>
      </c>
      <c r="H27" s="22" t="n">
        <f aca="false">F27-G27</f>
        <v>17166.19</v>
      </c>
      <c r="I27" s="0" t="n">
        <v>9</v>
      </c>
      <c r="J27" s="22" t="n">
        <f aca="false">F27-I27*E27</f>
        <v>33124</v>
      </c>
    </row>
    <row r="28" customFormat="false" ht="15" hidden="false" customHeight="false" outlineLevel="0" collapsed="false">
      <c r="A28" s="20" t="s">
        <v>23</v>
      </c>
      <c r="B28" s="20" t="s">
        <v>34</v>
      </c>
      <c r="C28" s="20" t="s">
        <v>26</v>
      </c>
      <c r="D28" s="20" t="n">
        <v>254</v>
      </c>
      <c r="E28" s="21" t="n">
        <v>96.88</v>
      </c>
      <c r="F28" s="21" t="n">
        <f aca="false">D28*E28</f>
        <v>24607.52</v>
      </c>
      <c r="G28" s="21" t="n">
        <v>15978.44</v>
      </c>
      <c r="H28" s="21" t="n">
        <f aca="false">F28-G28</f>
        <v>8629.08</v>
      </c>
      <c r="I28" s="20" t="n">
        <v>2</v>
      </c>
      <c r="J28" s="21" t="n">
        <f aca="false">F28-I28*E28</f>
        <v>24413.76</v>
      </c>
    </row>
    <row r="29" customFormat="false" ht="15" hidden="false" customHeight="false" outlineLevel="0" collapsed="false">
      <c r="A29" s="0" t="s">
        <v>23</v>
      </c>
      <c r="B29" s="0" t="s">
        <v>34</v>
      </c>
      <c r="C29" s="0" t="s">
        <v>27</v>
      </c>
      <c r="D29" s="0" t="n">
        <v>310</v>
      </c>
      <c r="E29" s="22" t="n">
        <v>128.44</v>
      </c>
      <c r="F29" s="22" t="n">
        <f aca="false">D29*E29</f>
        <v>39816.4</v>
      </c>
      <c r="G29" s="22" t="n">
        <v>23449.69</v>
      </c>
      <c r="H29" s="22" t="n">
        <f aca="false">F29-G29</f>
        <v>16366.71</v>
      </c>
      <c r="I29" s="0" t="n">
        <v>3</v>
      </c>
      <c r="J29" s="22" t="n">
        <f aca="false">F29-I29*E29</f>
        <v>39431.08</v>
      </c>
    </row>
    <row r="30" customFormat="false" ht="15" hidden="false" customHeight="false" outlineLevel="0" collapsed="false">
      <c r="A30" s="20" t="s">
        <v>23</v>
      </c>
      <c r="B30" s="20" t="s">
        <v>34</v>
      </c>
      <c r="C30" s="20" t="s">
        <v>28</v>
      </c>
      <c r="D30" s="20" t="n">
        <v>128</v>
      </c>
      <c r="E30" s="21" t="n">
        <v>160.59</v>
      </c>
      <c r="F30" s="21" t="n">
        <f aca="false">D30*E30</f>
        <v>20555.52</v>
      </c>
      <c r="G30" s="21" t="n">
        <v>12292.61</v>
      </c>
      <c r="H30" s="21" t="n">
        <f aca="false">F30-G30</f>
        <v>8262.91</v>
      </c>
      <c r="I30" s="20" t="n">
        <v>3</v>
      </c>
      <c r="J30" s="21" t="n">
        <f aca="false">F30-I30*E30</f>
        <v>20073.75</v>
      </c>
    </row>
    <row r="31" customFormat="false" ht="15" hidden="false" customHeight="false" outlineLevel="0" collapsed="false">
      <c r="A31" s="0" t="s">
        <v>23</v>
      </c>
      <c r="B31" s="0" t="s">
        <v>34</v>
      </c>
      <c r="C31" s="0" t="s">
        <v>29</v>
      </c>
      <c r="D31" s="0" t="n">
        <v>355</v>
      </c>
      <c r="E31" s="22" t="n">
        <v>25.25</v>
      </c>
      <c r="F31" s="22" t="n">
        <f aca="false">D31*E31</f>
        <v>8963.75</v>
      </c>
      <c r="G31" s="22" t="n">
        <v>4440.68</v>
      </c>
      <c r="H31" s="22" t="n">
        <f aca="false">F31-G31</f>
        <v>4523.07</v>
      </c>
      <c r="I31" s="0" t="n">
        <v>14</v>
      </c>
      <c r="J31" s="22" t="n">
        <f aca="false">F31-I31*E31</f>
        <v>8610.25</v>
      </c>
    </row>
    <row r="32" customFormat="false" ht="15" hidden="false" customHeight="false" outlineLevel="0" collapsed="false">
      <c r="A32" s="20" t="s">
        <v>35</v>
      </c>
      <c r="B32" s="20" t="s">
        <v>24</v>
      </c>
      <c r="C32" s="20" t="s">
        <v>25</v>
      </c>
      <c r="D32" s="20" t="n">
        <v>320</v>
      </c>
      <c r="E32" s="21" t="n">
        <v>70.34</v>
      </c>
      <c r="F32" s="21" t="n">
        <f aca="false">D32*E32</f>
        <v>22508.8</v>
      </c>
      <c r="G32" s="21" t="n">
        <v>12116.63</v>
      </c>
      <c r="H32" s="21" t="n">
        <f aca="false">F32-G32</f>
        <v>10392.17</v>
      </c>
      <c r="I32" s="20" t="n">
        <v>0</v>
      </c>
      <c r="J32" s="21" t="n">
        <f aca="false">F32-I32*E32</f>
        <v>22508.8</v>
      </c>
    </row>
    <row r="33" customFormat="false" ht="15" hidden="false" customHeight="false" outlineLevel="0" collapsed="false">
      <c r="A33" s="0" t="s">
        <v>35</v>
      </c>
      <c r="B33" s="0" t="s">
        <v>24</v>
      </c>
      <c r="C33" s="0" t="s">
        <v>26</v>
      </c>
      <c r="D33" s="0" t="n">
        <v>398</v>
      </c>
      <c r="E33" s="22" t="n">
        <v>182.97</v>
      </c>
      <c r="F33" s="22" t="n">
        <f aca="false">D33*E33</f>
        <v>72822.06</v>
      </c>
      <c r="G33" s="22" t="n">
        <v>41539.71</v>
      </c>
      <c r="H33" s="22" t="n">
        <f aca="false">F33-G33</f>
        <v>31282.35</v>
      </c>
      <c r="I33" s="0" t="n">
        <v>17</v>
      </c>
      <c r="J33" s="22" t="n">
        <f aca="false">F33-I33*E33</f>
        <v>69711.57</v>
      </c>
    </row>
    <row r="34" customFormat="false" ht="15" hidden="false" customHeight="false" outlineLevel="0" collapsed="false">
      <c r="A34" s="20" t="s">
        <v>35</v>
      </c>
      <c r="B34" s="20" t="s">
        <v>24</v>
      </c>
      <c r="C34" s="20" t="s">
        <v>27</v>
      </c>
      <c r="D34" s="20" t="n">
        <v>434</v>
      </c>
      <c r="E34" s="21" t="n">
        <v>74.04</v>
      </c>
      <c r="F34" s="21" t="n">
        <f aca="false">D34*E34</f>
        <v>32133.36</v>
      </c>
      <c r="G34" s="21" t="n">
        <v>18002.41</v>
      </c>
      <c r="H34" s="21" t="n">
        <f aca="false">F34-G34</f>
        <v>14130.95</v>
      </c>
      <c r="I34" s="20" t="n">
        <v>3</v>
      </c>
      <c r="J34" s="21" t="n">
        <f aca="false">F34-I34*E34</f>
        <v>31911.24</v>
      </c>
    </row>
    <row r="35" customFormat="false" ht="15" hidden="false" customHeight="false" outlineLevel="0" collapsed="false">
      <c r="A35" s="0" t="s">
        <v>35</v>
      </c>
      <c r="B35" s="0" t="s">
        <v>24</v>
      </c>
      <c r="C35" s="0" t="s">
        <v>28</v>
      </c>
      <c r="D35" s="0" t="n">
        <v>200</v>
      </c>
      <c r="E35" s="22" t="n">
        <v>114.34</v>
      </c>
      <c r="F35" s="22" t="n">
        <f aca="false">D35*E35</f>
        <v>22868</v>
      </c>
      <c r="G35" s="22" t="n">
        <v>11741.14</v>
      </c>
      <c r="H35" s="22" t="n">
        <f aca="false">F35-G35</f>
        <v>11126.86</v>
      </c>
      <c r="I35" s="0" t="n">
        <v>4</v>
      </c>
      <c r="J35" s="22" t="n">
        <f aca="false">F35-I35*E35</f>
        <v>22410.64</v>
      </c>
    </row>
    <row r="36" customFormat="false" ht="15" hidden="false" customHeight="false" outlineLevel="0" collapsed="false">
      <c r="A36" s="20" t="s">
        <v>35</v>
      </c>
      <c r="B36" s="20" t="s">
        <v>24</v>
      </c>
      <c r="C36" s="20" t="s">
        <v>29</v>
      </c>
      <c r="D36" s="20" t="n">
        <v>306</v>
      </c>
      <c r="E36" s="21" t="n">
        <v>192.87</v>
      </c>
      <c r="F36" s="21" t="n">
        <f aca="false">D36*E36</f>
        <v>59018.22</v>
      </c>
      <c r="G36" s="21" t="n">
        <v>31097.91</v>
      </c>
      <c r="H36" s="21" t="n">
        <f aca="false">F36-G36</f>
        <v>27920.31</v>
      </c>
      <c r="I36" s="20" t="n">
        <v>3</v>
      </c>
      <c r="J36" s="21" t="n">
        <f aca="false">F36-I36*E36</f>
        <v>58439.61</v>
      </c>
    </row>
    <row r="37" customFormat="false" ht="15" hidden="false" customHeight="false" outlineLevel="0" collapsed="false">
      <c r="A37" s="0" t="s">
        <v>35</v>
      </c>
      <c r="B37" s="0" t="s">
        <v>30</v>
      </c>
      <c r="C37" s="0" t="s">
        <v>25</v>
      </c>
      <c r="D37" s="0" t="n">
        <v>495</v>
      </c>
      <c r="E37" s="22" t="n">
        <v>160.07</v>
      </c>
      <c r="F37" s="22" t="n">
        <f aca="false">D37*E37</f>
        <v>79234.65</v>
      </c>
      <c r="G37" s="22" t="n">
        <v>48366.2</v>
      </c>
      <c r="H37" s="22" t="n">
        <f aca="false">F37-G37</f>
        <v>30868.45</v>
      </c>
      <c r="I37" s="0" t="n">
        <v>16</v>
      </c>
      <c r="J37" s="22" t="n">
        <f aca="false">F37-I37*E37</f>
        <v>76673.53</v>
      </c>
    </row>
    <row r="38" customFormat="false" ht="15" hidden="false" customHeight="false" outlineLevel="0" collapsed="false">
      <c r="A38" s="20" t="s">
        <v>35</v>
      </c>
      <c r="B38" s="20" t="s">
        <v>30</v>
      </c>
      <c r="C38" s="20" t="s">
        <v>26</v>
      </c>
      <c r="D38" s="20" t="n">
        <v>361</v>
      </c>
      <c r="E38" s="21" t="n">
        <v>57.74</v>
      </c>
      <c r="F38" s="21" t="n">
        <f aca="false">D38*E38</f>
        <v>20844.14</v>
      </c>
      <c r="G38" s="21" t="n">
        <v>10286.13</v>
      </c>
      <c r="H38" s="21" t="n">
        <f aca="false">F38-G38</f>
        <v>10558.01</v>
      </c>
      <c r="I38" s="20" t="n">
        <v>5</v>
      </c>
      <c r="J38" s="21" t="n">
        <f aca="false">F38-I38*E38</f>
        <v>20555.44</v>
      </c>
    </row>
    <row r="39" customFormat="false" ht="15" hidden="false" customHeight="false" outlineLevel="0" collapsed="false">
      <c r="A39" s="0" t="s">
        <v>35</v>
      </c>
      <c r="B39" s="0" t="s">
        <v>30</v>
      </c>
      <c r="C39" s="0" t="s">
        <v>27</v>
      </c>
      <c r="D39" s="0" t="n">
        <v>326</v>
      </c>
      <c r="E39" s="22" t="n">
        <v>238.84</v>
      </c>
      <c r="F39" s="22" t="n">
        <f aca="false">D39*E39</f>
        <v>77861.84</v>
      </c>
      <c r="G39" s="22" t="n">
        <v>49100.34</v>
      </c>
      <c r="H39" s="22" t="n">
        <f aca="false">F39-G39</f>
        <v>28761.5</v>
      </c>
      <c r="I39" s="0" t="n">
        <v>0</v>
      </c>
      <c r="J39" s="22" t="n">
        <f aca="false">F39-I39*E39</f>
        <v>77861.84</v>
      </c>
    </row>
    <row r="40" customFormat="false" ht="15" hidden="false" customHeight="false" outlineLevel="0" collapsed="false">
      <c r="A40" s="20" t="s">
        <v>35</v>
      </c>
      <c r="B40" s="20" t="s">
        <v>30</v>
      </c>
      <c r="C40" s="20" t="s">
        <v>28</v>
      </c>
      <c r="D40" s="20" t="n">
        <v>356</v>
      </c>
      <c r="E40" s="21" t="n">
        <v>87.8</v>
      </c>
      <c r="F40" s="21" t="n">
        <f aca="false">D40*E40</f>
        <v>31256.8</v>
      </c>
      <c r="G40" s="21" t="n">
        <v>12654.92</v>
      </c>
      <c r="H40" s="21" t="n">
        <f aca="false">F40-G40</f>
        <v>18601.88</v>
      </c>
      <c r="I40" s="20" t="n">
        <v>11</v>
      </c>
      <c r="J40" s="21" t="n">
        <f aca="false">F40-I40*E40</f>
        <v>30291</v>
      </c>
    </row>
    <row r="41" customFormat="false" ht="15" hidden="false" customHeight="false" outlineLevel="0" collapsed="false">
      <c r="A41" s="0" t="s">
        <v>35</v>
      </c>
      <c r="B41" s="0" t="s">
        <v>30</v>
      </c>
      <c r="C41" s="0" t="s">
        <v>29</v>
      </c>
      <c r="D41" s="0" t="n">
        <v>499</v>
      </c>
      <c r="E41" s="22" t="n">
        <v>246.48</v>
      </c>
      <c r="F41" s="22" t="n">
        <f aca="false">D41*E41</f>
        <v>122993.52</v>
      </c>
      <c r="G41" s="22" t="n">
        <v>74004.43</v>
      </c>
      <c r="H41" s="22" t="n">
        <f aca="false">F41-G41</f>
        <v>48989.09</v>
      </c>
      <c r="I41" s="0" t="n">
        <v>7</v>
      </c>
      <c r="J41" s="22" t="n">
        <f aca="false">F41-I41*E41</f>
        <v>121268.16</v>
      </c>
    </row>
    <row r="42" customFormat="false" ht="15" hidden="false" customHeight="false" outlineLevel="0" collapsed="false">
      <c r="A42" s="20" t="s">
        <v>35</v>
      </c>
      <c r="B42" s="20" t="s">
        <v>31</v>
      </c>
      <c r="C42" s="20" t="s">
        <v>25</v>
      </c>
      <c r="D42" s="20" t="n">
        <v>79</v>
      </c>
      <c r="E42" s="21" t="n">
        <v>67.81</v>
      </c>
      <c r="F42" s="21" t="n">
        <f aca="false">D42*E42</f>
        <v>5356.99</v>
      </c>
      <c r="G42" s="21" t="n">
        <v>2902.63</v>
      </c>
      <c r="H42" s="21" t="n">
        <f aca="false">F42-G42</f>
        <v>2454.36</v>
      </c>
      <c r="I42" s="20" t="n">
        <v>0</v>
      </c>
      <c r="J42" s="21" t="n">
        <f aca="false">F42-I42*E42</f>
        <v>5356.99</v>
      </c>
    </row>
    <row r="43" customFormat="false" ht="15" hidden="false" customHeight="false" outlineLevel="0" collapsed="false">
      <c r="A43" s="0" t="s">
        <v>35</v>
      </c>
      <c r="B43" s="0" t="s">
        <v>31</v>
      </c>
      <c r="C43" s="0" t="s">
        <v>26</v>
      </c>
      <c r="D43" s="0" t="n">
        <v>93</v>
      </c>
      <c r="E43" s="22" t="n">
        <v>185.66</v>
      </c>
      <c r="F43" s="22" t="n">
        <f aca="false">D43*E43</f>
        <v>17266.38</v>
      </c>
      <c r="G43" s="22" t="n">
        <v>10428.99</v>
      </c>
      <c r="H43" s="22" t="n">
        <f aca="false">F43-G43</f>
        <v>6837.39</v>
      </c>
      <c r="I43" s="0" t="n">
        <v>4</v>
      </c>
      <c r="J43" s="22" t="n">
        <f aca="false">F43-I43*E43</f>
        <v>16523.74</v>
      </c>
    </row>
    <row r="44" customFormat="false" ht="15" hidden="false" customHeight="false" outlineLevel="0" collapsed="false">
      <c r="A44" s="20" t="s">
        <v>35</v>
      </c>
      <c r="B44" s="20" t="s">
        <v>31</v>
      </c>
      <c r="C44" s="20" t="s">
        <v>27</v>
      </c>
      <c r="D44" s="20" t="n">
        <v>442</v>
      </c>
      <c r="E44" s="21" t="n">
        <v>40.18</v>
      </c>
      <c r="F44" s="21" t="n">
        <f aca="false">D44*E44</f>
        <v>17759.56</v>
      </c>
      <c r="G44" s="21" t="n">
        <v>10033.05</v>
      </c>
      <c r="H44" s="21" t="n">
        <f aca="false">F44-G44</f>
        <v>7726.51</v>
      </c>
      <c r="I44" s="20" t="n">
        <v>17</v>
      </c>
      <c r="J44" s="21" t="n">
        <f aca="false">F44-I44*E44</f>
        <v>17076.5</v>
      </c>
    </row>
    <row r="45" customFormat="false" ht="15" hidden="false" customHeight="false" outlineLevel="0" collapsed="false">
      <c r="A45" s="0" t="s">
        <v>35</v>
      </c>
      <c r="B45" s="0" t="s">
        <v>31</v>
      </c>
      <c r="C45" s="0" t="s">
        <v>28</v>
      </c>
      <c r="D45" s="0" t="n">
        <v>134</v>
      </c>
      <c r="E45" s="22" t="n">
        <v>73.61</v>
      </c>
      <c r="F45" s="22" t="n">
        <f aca="false">D45*E45</f>
        <v>9863.74</v>
      </c>
      <c r="G45" s="22" t="n">
        <v>6096.86</v>
      </c>
      <c r="H45" s="22" t="n">
        <f aca="false">F45-G45</f>
        <v>3766.88</v>
      </c>
      <c r="I45" s="0" t="n">
        <v>3</v>
      </c>
      <c r="J45" s="22" t="n">
        <f aca="false">F45-I45*E45</f>
        <v>9642.91</v>
      </c>
    </row>
    <row r="46" customFormat="false" ht="15" hidden="false" customHeight="false" outlineLevel="0" collapsed="false">
      <c r="A46" s="20" t="s">
        <v>35</v>
      </c>
      <c r="B46" s="20" t="s">
        <v>31</v>
      </c>
      <c r="C46" s="20" t="s">
        <v>29</v>
      </c>
      <c r="D46" s="20" t="n">
        <v>158</v>
      </c>
      <c r="E46" s="21" t="n">
        <v>232.94</v>
      </c>
      <c r="F46" s="21" t="n">
        <f aca="false">D46*E46</f>
        <v>36804.52</v>
      </c>
      <c r="G46" s="21" t="n">
        <v>21671.1</v>
      </c>
      <c r="H46" s="21" t="n">
        <f aca="false">F46-G46</f>
        <v>15133.42</v>
      </c>
      <c r="I46" s="20" t="n">
        <v>3</v>
      </c>
      <c r="J46" s="21" t="n">
        <f aca="false">F46-I46*E46</f>
        <v>36105.7</v>
      </c>
    </row>
    <row r="47" customFormat="false" ht="15" hidden="false" customHeight="false" outlineLevel="0" collapsed="false">
      <c r="A47" s="0" t="s">
        <v>35</v>
      </c>
      <c r="B47" s="0" t="s">
        <v>32</v>
      </c>
      <c r="C47" s="0" t="s">
        <v>25</v>
      </c>
      <c r="D47" s="0" t="n">
        <v>415</v>
      </c>
      <c r="E47" s="22" t="n">
        <v>84.81</v>
      </c>
      <c r="F47" s="22" t="n">
        <f aca="false">D47*E47</f>
        <v>35196.15</v>
      </c>
      <c r="G47" s="22" t="n">
        <v>22834.82</v>
      </c>
      <c r="H47" s="22" t="n">
        <f aca="false">F47-G47</f>
        <v>12361.33</v>
      </c>
      <c r="I47" s="0" t="n">
        <v>20</v>
      </c>
      <c r="J47" s="22" t="n">
        <f aca="false">F47-I47*E47</f>
        <v>33499.95</v>
      </c>
    </row>
    <row r="48" customFormat="false" ht="15" hidden="false" customHeight="false" outlineLevel="0" collapsed="false">
      <c r="A48" s="20" t="s">
        <v>35</v>
      </c>
      <c r="B48" s="20" t="s">
        <v>32</v>
      </c>
      <c r="C48" s="20" t="s">
        <v>26</v>
      </c>
      <c r="D48" s="20" t="n">
        <v>241</v>
      </c>
      <c r="E48" s="21" t="n">
        <v>115.14</v>
      </c>
      <c r="F48" s="21" t="n">
        <f aca="false">D48*E48</f>
        <v>27748.74</v>
      </c>
      <c r="G48" s="21" t="n">
        <v>14690.02</v>
      </c>
      <c r="H48" s="21" t="n">
        <f aca="false">F48-G48</f>
        <v>13058.72</v>
      </c>
      <c r="I48" s="20" t="n">
        <v>1</v>
      </c>
      <c r="J48" s="21" t="n">
        <f aca="false">F48-I48*E48</f>
        <v>27633.6</v>
      </c>
    </row>
    <row r="49" customFormat="false" ht="15" hidden="false" customHeight="false" outlineLevel="0" collapsed="false">
      <c r="A49" s="0" t="s">
        <v>35</v>
      </c>
      <c r="B49" s="0" t="s">
        <v>32</v>
      </c>
      <c r="C49" s="0" t="s">
        <v>27</v>
      </c>
      <c r="D49" s="0" t="n">
        <v>176</v>
      </c>
      <c r="E49" s="22" t="n">
        <v>63.93</v>
      </c>
      <c r="F49" s="22" t="n">
        <f aca="false">D49*E49</f>
        <v>11251.68</v>
      </c>
      <c r="G49" s="22" t="n">
        <v>5451.68</v>
      </c>
      <c r="H49" s="22" t="n">
        <f aca="false">F49-G49</f>
        <v>5800</v>
      </c>
      <c r="I49" s="0" t="n">
        <v>8</v>
      </c>
      <c r="J49" s="22" t="n">
        <f aca="false">F49-I49*E49</f>
        <v>10740.24</v>
      </c>
    </row>
    <row r="50" customFormat="false" ht="15" hidden="false" customHeight="false" outlineLevel="0" collapsed="false">
      <c r="A50" s="20" t="s">
        <v>35</v>
      </c>
      <c r="B50" s="20" t="s">
        <v>32</v>
      </c>
      <c r="C50" s="20" t="s">
        <v>28</v>
      </c>
      <c r="D50" s="20" t="n">
        <v>167</v>
      </c>
      <c r="E50" s="21" t="n">
        <v>151.23</v>
      </c>
      <c r="F50" s="21" t="n">
        <f aca="false">D50*E50</f>
        <v>25255.41</v>
      </c>
      <c r="G50" s="21" t="n">
        <v>10147.57</v>
      </c>
      <c r="H50" s="21" t="n">
        <f aca="false">F50-G50</f>
        <v>15107.84</v>
      </c>
      <c r="I50" s="20" t="n">
        <v>0</v>
      </c>
      <c r="J50" s="21" t="n">
        <f aca="false">F50-I50*E50</f>
        <v>25255.41</v>
      </c>
    </row>
    <row r="51" customFormat="false" ht="15" hidden="false" customHeight="false" outlineLevel="0" collapsed="false">
      <c r="A51" s="0" t="s">
        <v>35</v>
      </c>
      <c r="B51" s="0" t="s">
        <v>32</v>
      </c>
      <c r="C51" s="0" t="s">
        <v>29</v>
      </c>
      <c r="D51" s="0" t="n">
        <v>167</v>
      </c>
      <c r="E51" s="22" t="n">
        <v>26.18</v>
      </c>
      <c r="F51" s="22" t="n">
        <f aca="false">D51*E51</f>
        <v>4372.06</v>
      </c>
      <c r="G51" s="22" t="n">
        <v>1783.16</v>
      </c>
      <c r="H51" s="22" t="n">
        <f aca="false">F51-G51</f>
        <v>2588.9</v>
      </c>
      <c r="I51" s="0" t="n">
        <v>5</v>
      </c>
      <c r="J51" s="22" t="n">
        <f aca="false">F51-I51*E51</f>
        <v>4241.16</v>
      </c>
    </row>
    <row r="52" customFormat="false" ht="15" hidden="false" customHeight="false" outlineLevel="0" collapsed="false">
      <c r="A52" s="20" t="s">
        <v>35</v>
      </c>
      <c r="B52" s="20" t="s">
        <v>33</v>
      </c>
      <c r="C52" s="20" t="s">
        <v>25</v>
      </c>
      <c r="D52" s="20" t="n">
        <v>86</v>
      </c>
      <c r="E52" s="21" t="n">
        <v>133.4</v>
      </c>
      <c r="F52" s="21" t="n">
        <f aca="false">D52*E52</f>
        <v>11472.4</v>
      </c>
      <c r="G52" s="21" t="n">
        <v>5387.66</v>
      </c>
      <c r="H52" s="21" t="n">
        <f aca="false">F52-G52</f>
        <v>6084.74</v>
      </c>
      <c r="I52" s="20" t="n">
        <v>3</v>
      </c>
      <c r="J52" s="21" t="n">
        <f aca="false">F52-I52*E52</f>
        <v>11072.2</v>
      </c>
    </row>
    <row r="53" customFormat="false" ht="15" hidden="false" customHeight="false" outlineLevel="0" collapsed="false">
      <c r="A53" s="0" t="s">
        <v>35</v>
      </c>
      <c r="B53" s="0" t="s">
        <v>33</v>
      </c>
      <c r="C53" s="0" t="s">
        <v>26</v>
      </c>
      <c r="D53" s="0" t="n">
        <v>159</v>
      </c>
      <c r="E53" s="22" t="n">
        <v>139.42</v>
      </c>
      <c r="F53" s="22" t="n">
        <f aca="false">D53*E53</f>
        <v>22167.78</v>
      </c>
      <c r="G53" s="22" t="n">
        <v>12875.89</v>
      </c>
      <c r="H53" s="22" t="n">
        <f aca="false">F53-G53</f>
        <v>9291.89</v>
      </c>
      <c r="I53" s="0" t="n">
        <v>7</v>
      </c>
      <c r="J53" s="22" t="n">
        <f aca="false">F53-I53*E53</f>
        <v>21191.84</v>
      </c>
    </row>
    <row r="54" customFormat="false" ht="15" hidden="false" customHeight="false" outlineLevel="0" collapsed="false">
      <c r="A54" s="20" t="s">
        <v>35</v>
      </c>
      <c r="B54" s="20" t="s">
        <v>33</v>
      </c>
      <c r="C54" s="20" t="s">
        <v>27</v>
      </c>
      <c r="D54" s="20" t="n">
        <v>174</v>
      </c>
      <c r="E54" s="21" t="n">
        <v>198.31</v>
      </c>
      <c r="F54" s="21" t="n">
        <f aca="false">D54*E54</f>
        <v>34505.94</v>
      </c>
      <c r="G54" s="21" t="n">
        <v>20768.24</v>
      </c>
      <c r="H54" s="21" t="n">
        <f aca="false">F54-G54</f>
        <v>13737.7</v>
      </c>
      <c r="I54" s="20" t="n">
        <v>3</v>
      </c>
      <c r="J54" s="21" t="n">
        <f aca="false">F54-I54*E54</f>
        <v>33911.01</v>
      </c>
    </row>
    <row r="55" customFormat="false" ht="15" hidden="false" customHeight="false" outlineLevel="0" collapsed="false">
      <c r="A55" s="0" t="s">
        <v>35</v>
      </c>
      <c r="B55" s="0" t="s">
        <v>33</v>
      </c>
      <c r="C55" s="0" t="s">
        <v>28</v>
      </c>
      <c r="D55" s="0" t="n">
        <v>98</v>
      </c>
      <c r="E55" s="22" t="n">
        <v>33.26</v>
      </c>
      <c r="F55" s="22" t="n">
        <f aca="false">D55*E55</f>
        <v>3259.48</v>
      </c>
      <c r="G55" s="22" t="n">
        <v>1655.04</v>
      </c>
      <c r="H55" s="22" t="n">
        <f aca="false">F55-G55</f>
        <v>1604.44</v>
      </c>
      <c r="I55" s="0" t="n">
        <v>3</v>
      </c>
      <c r="J55" s="22" t="n">
        <f aca="false">F55-I55*E55</f>
        <v>3159.7</v>
      </c>
    </row>
    <row r="56" customFormat="false" ht="15" hidden="false" customHeight="false" outlineLevel="0" collapsed="false">
      <c r="A56" s="20" t="s">
        <v>35</v>
      </c>
      <c r="B56" s="20" t="s">
        <v>33</v>
      </c>
      <c r="C56" s="20" t="s">
        <v>29</v>
      </c>
      <c r="D56" s="20" t="n">
        <v>260</v>
      </c>
      <c r="E56" s="21" t="n">
        <v>122.09</v>
      </c>
      <c r="F56" s="21" t="n">
        <f aca="false">D56*E56</f>
        <v>31743.4</v>
      </c>
      <c r="G56" s="21" t="n">
        <v>18483.2</v>
      </c>
      <c r="H56" s="21" t="n">
        <f aca="false">F56-G56</f>
        <v>13260.2</v>
      </c>
      <c r="I56" s="20" t="n">
        <v>10</v>
      </c>
      <c r="J56" s="21" t="n">
        <f aca="false">F56-I56*E56</f>
        <v>30522.5</v>
      </c>
    </row>
    <row r="57" customFormat="false" ht="15" hidden="false" customHeight="false" outlineLevel="0" collapsed="false">
      <c r="A57" s="0" t="s">
        <v>35</v>
      </c>
      <c r="B57" s="0" t="s">
        <v>34</v>
      </c>
      <c r="C57" s="0" t="s">
        <v>25</v>
      </c>
      <c r="D57" s="0" t="n">
        <v>384</v>
      </c>
      <c r="E57" s="22" t="n">
        <v>246.2</v>
      </c>
      <c r="F57" s="22" t="n">
        <f aca="false">D57*E57</f>
        <v>94540.8</v>
      </c>
      <c r="G57" s="22" t="n">
        <v>40142.45</v>
      </c>
      <c r="H57" s="22" t="n">
        <f aca="false">F57-G57</f>
        <v>54398.35</v>
      </c>
      <c r="I57" s="0" t="n">
        <v>12</v>
      </c>
      <c r="J57" s="22" t="n">
        <f aca="false">F57-I57*E57</f>
        <v>91586.4</v>
      </c>
    </row>
    <row r="58" customFormat="false" ht="15" hidden="false" customHeight="false" outlineLevel="0" collapsed="false">
      <c r="A58" s="20" t="s">
        <v>35</v>
      </c>
      <c r="B58" s="20" t="s">
        <v>34</v>
      </c>
      <c r="C58" s="20" t="s">
        <v>26</v>
      </c>
      <c r="D58" s="20" t="n">
        <v>422</v>
      </c>
      <c r="E58" s="21" t="n">
        <v>91.43</v>
      </c>
      <c r="F58" s="21" t="n">
        <f aca="false">D58*E58</f>
        <v>38583.46</v>
      </c>
      <c r="G58" s="21" t="n">
        <v>23744.96</v>
      </c>
      <c r="H58" s="21" t="n">
        <f aca="false">F58-G58</f>
        <v>14838.5</v>
      </c>
      <c r="I58" s="20" t="n">
        <v>7</v>
      </c>
      <c r="J58" s="21" t="n">
        <f aca="false">F58-I58*E58</f>
        <v>37943.45</v>
      </c>
    </row>
    <row r="59" customFormat="false" ht="15" hidden="false" customHeight="false" outlineLevel="0" collapsed="false">
      <c r="A59" s="0" t="s">
        <v>35</v>
      </c>
      <c r="B59" s="0" t="s">
        <v>34</v>
      </c>
      <c r="C59" s="0" t="s">
        <v>27</v>
      </c>
      <c r="D59" s="0" t="n">
        <v>148</v>
      </c>
      <c r="E59" s="22" t="n">
        <v>55.65</v>
      </c>
      <c r="F59" s="22" t="n">
        <f aca="false">D59*E59</f>
        <v>8236.2</v>
      </c>
      <c r="G59" s="22" t="n">
        <v>4218.2</v>
      </c>
      <c r="H59" s="22" t="n">
        <f aca="false">F59-G59</f>
        <v>4018</v>
      </c>
      <c r="I59" s="0" t="n">
        <v>6</v>
      </c>
      <c r="J59" s="22" t="n">
        <f aca="false">F59-I59*E59</f>
        <v>7902.3</v>
      </c>
    </row>
    <row r="60" customFormat="false" ht="15" hidden="false" customHeight="false" outlineLevel="0" collapsed="false">
      <c r="A60" s="20" t="s">
        <v>35</v>
      </c>
      <c r="B60" s="20" t="s">
        <v>34</v>
      </c>
      <c r="C60" s="20" t="s">
        <v>28</v>
      </c>
      <c r="D60" s="20" t="n">
        <v>143</v>
      </c>
      <c r="E60" s="21" t="n">
        <v>76.85</v>
      </c>
      <c r="F60" s="21" t="n">
        <f aca="false">D60*E60</f>
        <v>10989.55</v>
      </c>
      <c r="G60" s="21" t="n">
        <v>5082.14</v>
      </c>
      <c r="H60" s="21" t="n">
        <f aca="false">F60-G60</f>
        <v>5907.41</v>
      </c>
      <c r="I60" s="20" t="n">
        <v>1</v>
      </c>
      <c r="J60" s="21" t="n">
        <f aca="false">F60-I60*E60</f>
        <v>10912.7</v>
      </c>
    </row>
    <row r="61" customFormat="false" ht="15" hidden="false" customHeight="false" outlineLevel="0" collapsed="false">
      <c r="A61" s="0" t="s">
        <v>35</v>
      </c>
      <c r="B61" s="0" t="s">
        <v>34</v>
      </c>
      <c r="C61" s="0" t="s">
        <v>29</v>
      </c>
      <c r="D61" s="0" t="n">
        <v>276</v>
      </c>
      <c r="E61" s="22" t="n">
        <v>203.93</v>
      </c>
      <c r="F61" s="22" t="n">
        <f aca="false">D61*E61</f>
        <v>56284.68</v>
      </c>
      <c r="G61" s="22" t="n">
        <v>34558.33</v>
      </c>
      <c r="H61" s="22" t="n">
        <f aca="false">F61-G61</f>
        <v>21726.35</v>
      </c>
      <c r="I61" s="0" t="n">
        <v>1</v>
      </c>
      <c r="J61" s="22" t="n">
        <f aca="false">F61-I61*E61</f>
        <v>56080.75</v>
      </c>
    </row>
    <row r="62" customFormat="false" ht="15" hidden="false" customHeight="false" outlineLevel="0" collapsed="false">
      <c r="A62" s="20" t="s">
        <v>36</v>
      </c>
      <c r="B62" s="20" t="s">
        <v>24</v>
      </c>
      <c r="C62" s="20" t="s">
        <v>25</v>
      </c>
      <c r="D62" s="20" t="n">
        <v>75</v>
      </c>
      <c r="E62" s="21" t="n">
        <v>166.51</v>
      </c>
      <c r="F62" s="21" t="n">
        <f aca="false">D62*E62</f>
        <v>12488.25</v>
      </c>
      <c r="G62" s="21" t="n">
        <v>6683.05</v>
      </c>
      <c r="H62" s="21" t="n">
        <f aca="false">F62-G62</f>
        <v>5805.2</v>
      </c>
      <c r="I62" s="20" t="n">
        <v>0</v>
      </c>
      <c r="J62" s="21" t="n">
        <f aca="false">F62-I62*E62</f>
        <v>12488.25</v>
      </c>
    </row>
    <row r="63" customFormat="false" ht="15" hidden="false" customHeight="false" outlineLevel="0" collapsed="false">
      <c r="A63" s="0" t="s">
        <v>36</v>
      </c>
      <c r="B63" s="0" t="s">
        <v>24</v>
      </c>
      <c r="C63" s="0" t="s">
        <v>26</v>
      </c>
      <c r="D63" s="0" t="n">
        <v>97</v>
      </c>
      <c r="E63" s="22" t="n">
        <v>232.33</v>
      </c>
      <c r="F63" s="22" t="n">
        <f aca="false">D63*E63</f>
        <v>22536.01</v>
      </c>
      <c r="G63" s="22" t="n">
        <v>13795.96</v>
      </c>
      <c r="H63" s="22" t="n">
        <f aca="false">F63-G63</f>
        <v>8740.05</v>
      </c>
      <c r="I63" s="0" t="n">
        <v>1</v>
      </c>
      <c r="J63" s="22" t="n">
        <f aca="false">F63-I63*E63</f>
        <v>22303.68</v>
      </c>
    </row>
    <row r="64" customFormat="false" ht="15" hidden="false" customHeight="false" outlineLevel="0" collapsed="false">
      <c r="A64" s="20" t="s">
        <v>36</v>
      </c>
      <c r="B64" s="20" t="s">
        <v>24</v>
      </c>
      <c r="C64" s="20" t="s">
        <v>27</v>
      </c>
      <c r="D64" s="20" t="n">
        <v>258</v>
      </c>
      <c r="E64" s="21" t="n">
        <v>126.55</v>
      </c>
      <c r="F64" s="21" t="n">
        <f aca="false">D64*E64</f>
        <v>32649.9</v>
      </c>
      <c r="G64" s="21" t="n">
        <v>14804.67</v>
      </c>
      <c r="H64" s="21" t="n">
        <f aca="false">F64-G64</f>
        <v>17845.23</v>
      </c>
      <c r="I64" s="20" t="n">
        <v>6</v>
      </c>
      <c r="J64" s="21" t="n">
        <f aca="false">F64-I64*E64</f>
        <v>31890.6</v>
      </c>
    </row>
    <row r="65" customFormat="false" ht="15" hidden="false" customHeight="false" outlineLevel="0" collapsed="false">
      <c r="A65" s="0" t="s">
        <v>36</v>
      </c>
      <c r="B65" s="0" t="s">
        <v>24</v>
      </c>
      <c r="C65" s="0" t="s">
        <v>28</v>
      </c>
      <c r="D65" s="0" t="n">
        <v>80</v>
      </c>
      <c r="E65" s="22" t="n">
        <v>49.51</v>
      </c>
      <c r="F65" s="22" t="n">
        <f aca="false">D65*E65</f>
        <v>3960.8</v>
      </c>
      <c r="G65" s="22" t="n">
        <v>1586.45</v>
      </c>
      <c r="H65" s="22" t="n">
        <f aca="false">F65-G65</f>
        <v>2374.35</v>
      </c>
      <c r="I65" s="0" t="n">
        <v>3</v>
      </c>
      <c r="J65" s="22" t="n">
        <f aca="false">F65-I65*E65</f>
        <v>3812.27</v>
      </c>
    </row>
    <row r="66" customFormat="false" ht="15" hidden="false" customHeight="false" outlineLevel="0" collapsed="false">
      <c r="A66" s="20" t="s">
        <v>36</v>
      </c>
      <c r="B66" s="20" t="s">
        <v>24</v>
      </c>
      <c r="C66" s="20" t="s">
        <v>29</v>
      </c>
      <c r="D66" s="20" t="n">
        <v>185</v>
      </c>
      <c r="E66" s="21" t="n">
        <v>232.36</v>
      </c>
      <c r="F66" s="21" t="n">
        <f aca="false">D66*E66</f>
        <v>42986.6</v>
      </c>
      <c r="G66" s="21" t="n">
        <v>25632.15</v>
      </c>
      <c r="H66" s="21" t="n">
        <f aca="false">F66-G66</f>
        <v>17354.45</v>
      </c>
      <c r="I66" s="20" t="n">
        <v>4</v>
      </c>
      <c r="J66" s="21" t="n">
        <f aca="false">F66-I66*E66</f>
        <v>42057.16</v>
      </c>
    </row>
    <row r="67" customFormat="false" ht="15" hidden="false" customHeight="false" outlineLevel="0" collapsed="false">
      <c r="A67" s="0" t="s">
        <v>36</v>
      </c>
      <c r="B67" s="0" t="s">
        <v>30</v>
      </c>
      <c r="C67" s="0" t="s">
        <v>25</v>
      </c>
      <c r="D67" s="0" t="n">
        <v>266</v>
      </c>
      <c r="E67" s="22" t="n">
        <v>177.18</v>
      </c>
      <c r="F67" s="22" t="n">
        <f aca="false">D67*E67</f>
        <v>47129.88</v>
      </c>
      <c r="G67" s="22" t="n">
        <v>27459.11</v>
      </c>
      <c r="H67" s="22" t="n">
        <f aca="false">F67-G67</f>
        <v>19670.77</v>
      </c>
      <c r="I67" s="0" t="n">
        <v>12</v>
      </c>
      <c r="J67" s="22" t="n">
        <f aca="false">F67-I67*E67</f>
        <v>45003.72</v>
      </c>
    </row>
    <row r="68" customFormat="false" ht="15" hidden="false" customHeight="false" outlineLevel="0" collapsed="false">
      <c r="A68" s="20" t="s">
        <v>36</v>
      </c>
      <c r="B68" s="20" t="s">
        <v>30</v>
      </c>
      <c r="C68" s="20" t="s">
        <v>26</v>
      </c>
      <c r="D68" s="20" t="n">
        <v>334</v>
      </c>
      <c r="E68" s="21" t="n">
        <v>168.85</v>
      </c>
      <c r="F68" s="21" t="n">
        <f aca="false">D68*E68</f>
        <v>56395.9</v>
      </c>
      <c r="G68" s="21" t="n">
        <v>29419.93</v>
      </c>
      <c r="H68" s="21" t="n">
        <f aca="false">F68-G68</f>
        <v>26975.97</v>
      </c>
      <c r="I68" s="20" t="n">
        <v>6</v>
      </c>
      <c r="J68" s="21" t="n">
        <f aca="false">F68-I68*E68</f>
        <v>55382.8</v>
      </c>
    </row>
    <row r="69" customFormat="false" ht="15" hidden="false" customHeight="false" outlineLevel="0" collapsed="false">
      <c r="A69" s="0" t="s">
        <v>36</v>
      </c>
      <c r="B69" s="0" t="s">
        <v>30</v>
      </c>
      <c r="C69" s="0" t="s">
        <v>27</v>
      </c>
      <c r="D69" s="0" t="n">
        <v>201</v>
      </c>
      <c r="E69" s="22" t="n">
        <v>62.25</v>
      </c>
      <c r="F69" s="22" t="n">
        <f aca="false">D69*E69</f>
        <v>12512.25</v>
      </c>
      <c r="G69" s="22" t="n">
        <v>5187.84</v>
      </c>
      <c r="H69" s="22" t="n">
        <f aca="false">F69-G69</f>
        <v>7324.41</v>
      </c>
      <c r="I69" s="0" t="n">
        <v>8</v>
      </c>
      <c r="J69" s="22" t="n">
        <f aca="false">F69-I69*E69</f>
        <v>12014.25</v>
      </c>
    </row>
    <row r="70" customFormat="false" ht="15" hidden="false" customHeight="false" outlineLevel="0" collapsed="false">
      <c r="A70" s="20" t="s">
        <v>36</v>
      </c>
      <c r="B70" s="20" t="s">
        <v>30</v>
      </c>
      <c r="C70" s="20" t="s">
        <v>28</v>
      </c>
      <c r="D70" s="20" t="n">
        <v>81</v>
      </c>
      <c r="E70" s="21" t="n">
        <v>189.51</v>
      </c>
      <c r="F70" s="21" t="n">
        <f aca="false">D70*E70</f>
        <v>15350.31</v>
      </c>
      <c r="G70" s="21" t="n">
        <v>6359.5</v>
      </c>
      <c r="H70" s="21" t="n">
        <f aca="false">F70-G70</f>
        <v>8990.81</v>
      </c>
      <c r="I70" s="20" t="n">
        <v>4</v>
      </c>
      <c r="J70" s="21" t="n">
        <f aca="false">F70-I70*E70</f>
        <v>14592.27</v>
      </c>
    </row>
    <row r="71" customFormat="false" ht="15" hidden="false" customHeight="false" outlineLevel="0" collapsed="false">
      <c r="A71" s="0" t="s">
        <v>36</v>
      </c>
      <c r="B71" s="0" t="s">
        <v>30</v>
      </c>
      <c r="C71" s="0" t="s">
        <v>29</v>
      </c>
      <c r="D71" s="0" t="n">
        <v>294</v>
      </c>
      <c r="E71" s="22" t="n">
        <v>130.68</v>
      </c>
      <c r="F71" s="22" t="n">
        <f aca="false">D71*E71</f>
        <v>38419.92</v>
      </c>
      <c r="G71" s="22" t="n">
        <v>23558.33</v>
      </c>
      <c r="H71" s="22" t="n">
        <f aca="false">F71-G71</f>
        <v>14861.59</v>
      </c>
      <c r="I71" s="0" t="n">
        <v>2</v>
      </c>
      <c r="J71" s="22" t="n">
        <f aca="false">F71-I71*E71</f>
        <v>38158.56</v>
      </c>
    </row>
    <row r="72" customFormat="false" ht="15" hidden="false" customHeight="false" outlineLevel="0" collapsed="false">
      <c r="A72" s="20" t="s">
        <v>36</v>
      </c>
      <c r="B72" s="20" t="s">
        <v>31</v>
      </c>
      <c r="C72" s="20" t="s">
        <v>25</v>
      </c>
      <c r="D72" s="20" t="n">
        <v>79</v>
      </c>
      <c r="E72" s="21" t="n">
        <v>240.59</v>
      </c>
      <c r="F72" s="21" t="n">
        <f aca="false">D72*E72</f>
        <v>19006.61</v>
      </c>
      <c r="G72" s="21" t="n">
        <v>7983.31</v>
      </c>
      <c r="H72" s="21" t="n">
        <f aca="false">F72-G72</f>
        <v>11023.3</v>
      </c>
      <c r="I72" s="20" t="n">
        <v>1</v>
      </c>
      <c r="J72" s="21" t="n">
        <f aca="false">F72-I72*E72</f>
        <v>18766.02</v>
      </c>
    </row>
    <row r="73" customFormat="false" ht="15" hidden="false" customHeight="false" outlineLevel="0" collapsed="false">
      <c r="A73" s="0" t="s">
        <v>36</v>
      </c>
      <c r="B73" s="0" t="s">
        <v>31</v>
      </c>
      <c r="C73" s="0" t="s">
        <v>26</v>
      </c>
      <c r="D73" s="0" t="n">
        <v>85</v>
      </c>
      <c r="E73" s="22" t="n">
        <v>152.81</v>
      </c>
      <c r="F73" s="22" t="n">
        <f aca="false">D73*E73</f>
        <v>12988.85</v>
      </c>
      <c r="G73" s="22" t="n">
        <v>7388.1</v>
      </c>
      <c r="H73" s="22" t="n">
        <f aca="false">F73-G73</f>
        <v>5600.75</v>
      </c>
      <c r="I73" s="0" t="n">
        <v>1</v>
      </c>
      <c r="J73" s="22" t="n">
        <f aca="false">F73-I73*E73</f>
        <v>12836.04</v>
      </c>
    </row>
    <row r="74" customFormat="false" ht="15" hidden="false" customHeight="false" outlineLevel="0" collapsed="false">
      <c r="A74" s="20" t="s">
        <v>36</v>
      </c>
      <c r="B74" s="20" t="s">
        <v>31</v>
      </c>
      <c r="C74" s="20" t="s">
        <v>27</v>
      </c>
      <c r="D74" s="20" t="n">
        <v>256</v>
      </c>
      <c r="E74" s="21" t="n">
        <v>38.77</v>
      </c>
      <c r="F74" s="21" t="n">
        <f aca="false">D74*E74</f>
        <v>9925.12</v>
      </c>
      <c r="G74" s="21" t="n">
        <v>6179.1</v>
      </c>
      <c r="H74" s="21" t="n">
        <f aca="false">F74-G74</f>
        <v>3746.02</v>
      </c>
      <c r="I74" s="20" t="n">
        <v>3</v>
      </c>
      <c r="J74" s="21" t="n">
        <f aca="false">F74-I74*E74</f>
        <v>9808.81</v>
      </c>
    </row>
    <row r="75" customFormat="false" ht="15" hidden="false" customHeight="false" outlineLevel="0" collapsed="false">
      <c r="A75" s="0" t="s">
        <v>36</v>
      </c>
      <c r="B75" s="0" t="s">
        <v>31</v>
      </c>
      <c r="C75" s="0" t="s">
        <v>28</v>
      </c>
      <c r="D75" s="0" t="n">
        <v>346</v>
      </c>
      <c r="E75" s="22" t="n">
        <v>152.68</v>
      </c>
      <c r="F75" s="22" t="n">
        <f aca="false">D75*E75</f>
        <v>52827.28</v>
      </c>
      <c r="G75" s="22" t="n">
        <v>29310.97</v>
      </c>
      <c r="H75" s="22" t="n">
        <f aca="false">F75-G75</f>
        <v>23516.31</v>
      </c>
      <c r="I75" s="0" t="n">
        <v>13</v>
      </c>
      <c r="J75" s="22" t="n">
        <f aca="false">F75-I75*E75</f>
        <v>50842.44</v>
      </c>
    </row>
    <row r="76" customFormat="false" ht="15" hidden="false" customHeight="false" outlineLevel="0" collapsed="false">
      <c r="A76" s="20" t="s">
        <v>36</v>
      </c>
      <c r="B76" s="20" t="s">
        <v>31</v>
      </c>
      <c r="C76" s="20" t="s">
        <v>29</v>
      </c>
      <c r="D76" s="20" t="n">
        <v>386</v>
      </c>
      <c r="E76" s="21" t="n">
        <v>150.08</v>
      </c>
      <c r="F76" s="21" t="n">
        <f aca="false">D76*E76</f>
        <v>57930.88</v>
      </c>
      <c r="G76" s="21" t="n">
        <v>30743.67</v>
      </c>
      <c r="H76" s="21" t="n">
        <f aca="false">F76-G76</f>
        <v>27187.21</v>
      </c>
      <c r="I76" s="20" t="n">
        <v>8</v>
      </c>
      <c r="J76" s="21" t="n">
        <f aca="false">F76-I76*E76</f>
        <v>56730.24</v>
      </c>
    </row>
    <row r="77" customFormat="false" ht="15" hidden="false" customHeight="false" outlineLevel="0" collapsed="false">
      <c r="A77" s="0" t="s">
        <v>36</v>
      </c>
      <c r="B77" s="0" t="s">
        <v>32</v>
      </c>
      <c r="C77" s="0" t="s">
        <v>25</v>
      </c>
      <c r="D77" s="0" t="n">
        <v>154</v>
      </c>
      <c r="E77" s="22" t="n">
        <v>170.73</v>
      </c>
      <c r="F77" s="22" t="n">
        <f aca="false">D77*E77</f>
        <v>26292.42</v>
      </c>
      <c r="G77" s="22" t="n">
        <v>12582.13</v>
      </c>
      <c r="H77" s="22" t="n">
        <f aca="false">F77-G77</f>
        <v>13710.29</v>
      </c>
      <c r="I77" s="0" t="n">
        <v>4</v>
      </c>
      <c r="J77" s="22" t="n">
        <f aca="false">F77-I77*E77</f>
        <v>25609.5</v>
      </c>
    </row>
    <row r="78" customFormat="false" ht="15" hidden="false" customHeight="false" outlineLevel="0" collapsed="false">
      <c r="A78" s="20" t="s">
        <v>36</v>
      </c>
      <c r="B78" s="20" t="s">
        <v>32</v>
      </c>
      <c r="C78" s="20" t="s">
        <v>26</v>
      </c>
      <c r="D78" s="20" t="n">
        <v>252</v>
      </c>
      <c r="E78" s="21" t="n">
        <v>41.41</v>
      </c>
      <c r="F78" s="21" t="n">
        <f aca="false">D78*E78</f>
        <v>10435.32</v>
      </c>
      <c r="G78" s="21" t="n">
        <v>5858.13</v>
      </c>
      <c r="H78" s="21" t="n">
        <f aca="false">F78-G78</f>
        <v>4577.19</v>
      </c>
      <c r="I78" s="20" t="n">
        <v>7</v>
      </c>
      <c r="J78" s="21" t="n">
        <f aca="false">F78-I78*E78</f>
        <v>10145.45</v>
      </c>
    </row>
    <row r="79" customFormat="false" ht="15" hidden="false" customHeight="false" outlineLevel="0" collapsed="false">
      <c r="A79" s="0" t="s">
        <v>36</v>
      </c>
      <c r="B79" s="0" t="s">
        <v>32</v>
      </c>
      <c r="C79" s="0" t="s">
        <v>27</v>
      </c>
      <c r="D79" s="0" t="n">
        <v>211</v>
      </c>
      <c r="E79" s="22" t="n">
        <v>232.96</v>
      </c>
      <c r="F79" s="22" t="n">
        <f aca="false">D79*E79</f>
        <v>49154.56</v>
      </c>
      <c r="G79" s="22" t="n">
        <v>31160.73</v>
      </c>
      <c r="H79" s="22" t="n">
        <f aca="false">F79-G79</f>
        <v>17993.83</v>
      </c>
      <c r="I79" s="0" t="n">
        <v>0</v>
      </c>
      <c r="J79" s="22" t="n">
        <f aca="false">F79-I79*E79</f>
        <v>49154.56</v>
      </c>
    </row>
    <row r="80" customFormat="false" ht="15" hidden="false" customHeight="false" outlineLevel="0" collapsed="false">
      <c r="A80" s="20" t="s">
        <v>36</v>
      </c>
      <c r="B80" s="20" t="s">
        <v>32</v>
      </c>
      <c r="C80" s="20" t="s">
        <v>28</v>
      </c>
      <c r="D80" s="20" t="n">
        <v>284</v>
      </c>
      <c r="E80" s="21" t="n">
        <v>159.08</v>
      </c>
      <c r="F80" s="21" t="n">
        <f aca="false">D80*E80</f>
        <v>45178.72</v>
      </c>
      <c r="G80" s="21" t="n">
        <v>24430.32</v>
      </c>
      <c r="H80" s="21" t="n">
        <f aca="false">F80-G80</f>
        <v>20748.4</v>
      </c>
      <c r="I80" s="20" t="n">
        <v>1</v>
      </c>
      <c r="J80" s="21" t="n">
        <f aca="false">F80-I80*E80</f>
        <v>45019.64</v>
      </c>
    </row>
    <row r="81" customFormat="false" ht="15" hidden="false" customHeight="false" outlineLevel="0" collapsed="false">
      <c r="A81" s="0" t="s">
        <v>36</v>
      </c>
      <c r="B81" s="0" t="s">
        <v>32</v>
      </c>
      <c r="C81" s="0" t="s">
        <v>29</v>
      </c>
      <c r="D81" s="0" t="n">
        <v>87</v>
      </c>
      <c r="E81" s="22" t="n">
        <v>139.03</v>
      </c>
      <c r="F81" s="22" t="n">
        <f aca="false">D81*E81</f>
        <v>12095.61</v>
      </c>
      <c r="G81" s="22" t="n">
        <v>6367.99</v>
      </c>
      <c r="H81" s="22" t="n">
        <f aca="false">F81-G81</f>
        <v>5727.62</v>
      </c>
      <c r="I81" s="0" t="n">
        <v>1</v>
      </c>
      <c r="J81" s="22" t="n">
        <f aca="false">F81-I81*E81</f>
        <v>11956.58</v>
      </c>
    </row>
    <row r="82" customFormat="false" ht="15" hidden="false" customHeight="false" outlineLevel="0" collapsed="false">
      <c r="A82" s="20" t="s">
        <v>36</v>
      </c>
      <c r="B82" s="20" t="s">
        <v>33</v>
      </c>
      <c r="C82" s="20" t="s">
        <v>25</v>
      </c>
      <c r="D82" s="20" t="n">
        <v>228</v>
      </c>
      <c r="E82" s="21" t="n">
        <v>221.41</v>
      </c>
      <c r="F82" s="21" t="n">
        <f aca="false">D82*E82</f>
        <v>50481.48</v>
      </c>
      <c r="G82" s="21" t="n">
        <v>31289.31</v>
      </c>
      <c r="H82" s="21" t="n">
        <f aca="false">F82-G82</f>
        <v>19192.17</v>
      </c>
      <c r="I82" s="20" t="n">
        <v>5</v>
      </c>
      <c r="J82" s="21" t="n">
        <f aca="false">F82-I82*E82</f>
        <v>49374.43</v>
      </c>
    </row>
    <row r="83" customFormat="false" ht="15" hidden="false" customHeight="false" outlineLevel="0" collapsed="false">
      <c r="A83" s="0" t="s">
        <v>36</v>
      </c>
      <c r="B83" s="0" t="s">
        <v>33</v>
      </c>
      <c r="C83" s="0" t="s">
        <v>26</v>
      </c>
      <c r="D83" s="0" t="n">
        <v>195</v>
      </c>
      <c r="E83" s="22" t="n">
        <v>47.86</v>
      </c>
      <c r="F83" s="22" t="n">
        <f aca="false">D83*E83</f>
        <v>9332.7</v>
      </c>
      <c r="G83" s="22" t="n">
        <v>5678.35</v>
      </c>
      <c r="H83" s="22" t="n">
        <f aca="false">F83-G83</f>
        <v>3654.35</v>
      </c>
      <c r="I83" s="0" t="n">
        <v>4</v>
      </c>
      <c r="J83" s="22" t="n">
        <f aca="false">F83-I83*E83</f>
        <v>9141.26</v>
      </c>
    </row>
    <row r="84" customFormat="false" ht="15" hidden="false" customHeight="false" outlineLevel="0" collapsed="false">
      <c r="A84" s="20" t="s">
        <v>36</v>
      </c>
      <c r="B84" s="20" t="s">
        <v>33</v>
      </c>
      <c r="C84" s="20" t="s">
        <v>27</v>
      </c>
      <c r="D84" s="20" t="n">
        <v>363</v>
      </c>
      <c r="E84" s="21" t="n">
        <v>246.12</v>
      </c>
      <c r="F84" s="21" t="n">
        <f aca="false">D84*E84</f>
        <v>89341.56</v>
      </c>
      <c r="G84" s="21" t="n">
        <v>53763.52</v>
      </c>
      <c r="H84" s="21" t="n">
        <f aca="false">F84-G84</f>
        <v>35578.04</v>
      </c>
      <c r="I84" s="20" t="n">
        <v>16</v>
      </c>
      <c r="J84" s="21" t="n">
        <f aca="false">F84-I84*E84</f>
        <v>85403.64</v>
      </c>
    </row>
    <row r="85" customFormat="false" ht="15" hidden="false" customHeight="false" outlineLevel="0" collapsed="false">
      <c r="A85" s="0" t="s">
        <v>36</v>
      </c>
      <c r="B85" s="0" t="s">
        <v>33</v>
      </c>
      <c r="C85" s="0" t="s">
        <v>28</v>
      </c>
      <c r="D85" s="0" t="n">
        <v>54</v>
      </c>
      <c r="E85" s="22" t="n">
        <v>170.29</v>
      </c>
      <c r="F85" s="22" t="n">
        <f aca="false">D85*E85</f>
        <v>9195.66</v>
      </c>
      <c r="G85" s="22" t="n">
        <v>4953.25</v>
      </c>
      <c r="H85" s="22" t="n">
        <f aca="false">F85-G85</f>
        <v>4242.41</v>
      </c>
      <c r="I85" s="0" t="n">
        <v>2</v>
      </c>
      <c r="J85" s="22" t="n">
        <f aca="false">F85-I85*E85</f>
        <v>8855.08</v>
      </c>
    </row>
    <row r="86" customFormat="false" ht="15" hidden="false" customHeight="false" outlineLevel="0" collapsed="false">
      <c r="A86" s="20" t="s">
        <v>36</v>
      </c>
      <c r="B86" s="20" t="s">
        <v>33</v>
      </c>
      <c r="C86" s="20" t="s">
        <v>29</v>
      </c>
      <c r="D86" s="20" t="n">
        <v>103</v>
      </c>
      <c r="E86" s="21" t="n">
        <v>235.34</v>
      </c>
      <c r="F86" s="21" t="n">
        <f aca="false">D86*E86</f>
        <v>24240.02</v>
      </c>
      <c r="G86" s="21" t="n">
        <v>10509.81</v>
      </c>
      <c r="H86" s="21" t="n">
        <f aca="false">F86-G86</f>
        <v>13730.21</v>
      </c>
      <c r="I86" s="20" t="n">
        <v>0</v>
      </c>
      <c r="J86" s="21" t="n">
        <f aca="false">F86-I86*E86</f>
        <v>24240.02</v>
      </c>
    </row>
    <row r="87" customFormat="false" ht="15" hidden="false" customHeight="false" outlineLevel="0" collapsed="false">
      <c r="A87" s="0" t="s">
        <v>36</v>
      </c>
      <c r="B87" s="0" t="s">
        <v>34</v>
      </c>
      <c r="C87" s="0" t="s">
        <v>25</v>
      </c>
      <c r="D87" s="0" t="n">
        <v>104</v>
      </c>
      <c r="E87" s="22" t="n">
        <v>188.18</v>
      </c>
      <c r="F87" s="22" t="n">
        <f aca="false">D87*E87</f>
        <v>19570.72</v>
      </c>
      <c r="G87" s="22" t="n">
        <v>8588.84</v>
      </c>
      <c r="H87" s="22" t="n">
        <f aca="false">F87-G87</f>
        <v>10981.88</v>
      </c>
      <c r="I87" s="0" t="n">
        <v>2</v>
      </c>
      <c r="J87" s="22" t="n">
        <f aca="false">F87-I87*E87</f>
        <v>19194.36</v>
      </c>
    </row>
    <row r="88" customFormat="false" ht="15" hidden="false" customHeight="false" outlineLevel="0" collapsed="false">
      <c r="A88" s="20" t="s">
        <v>36</v>
      </c>
      <c r="B88" s="20" t="s">
        <v>34</v>
      </c>
      <c r="C88" s="20" t="s">
        <v>26</v>
      </c>
      <c r="D88" s="20" t="n">
        <v>359</v>
      </c>
      <c r="E88" s="21" t="n">
        <v>60.55</v>
      </c>
      <c r="F88" s="21" t="n">
        <f aca="false">D88*E88</f>
        <v>21737.45</v>
      </c>
      <c r="G88" s="21" t="n">
        <v>10558.32</v>
      </c>
      <c r="H88" s="21" t="n">
        <f aca="false">F88-G88</f>
        <v>11179.13</v>
      </c>
      <c r="I88" s="20" t="n">
        <v>8</v>
      </c>
      <c r="J88" s="21" t="n">
        <f aca="false">F88-I88*E88</f>
        <v>21253.05</v>
      </c>
    </row>
    <row r="89" customFormat="false" ht="15" hidden="false" customHeight="false" outlineLevel="0" collapsed="false">
      <c r="A89" s="0" t="s">
        <v>36</v>
      </c>
      <c r="B89" s="0" t="s">
        <v>34</v>
      </c>
      <c r="C89" s="0" t="s">
        <v>27</v>
      </c>
      <c r="D89" s="0" t="n">
        <v>308</v>
      </c>
      <c r="E89" s="22" t="n">
        <v>127.25</v>
      </c>
      <c r="F89" s="22" t="n">
        <f aca="false">D89*E89</f>
        <v>39193</v>
      </c>
      <c r="G89" s="22" t="n">
        <v>24547.91</v>
      </c>
      <c r="H89" s="22" t="n">
        <f aca="false">F89-G89</f>
        <v>14645.09</v>
      </c>
      <c r="I89" s="0" t="n">
        <v>1</v>
      </c>
      <c r="J89" s="22" t="n">
        <f aca="false">F89-I89*E89</f>
        <v>39065.75</v>
      </c>
    </row>
    <row r="90" customFormat="false" ht="15" hidden="false" customHeight="false" outlineLevel="0" collapsed="false">
      <c r="A90" s="20" t="s">
        <v>36</v>
      </c>
      <c r="B90" s="20" t="s">
        <v>34</v>
      </c>
      <c r="C90" s="20" t="s">
        <v>28</v>
      </c>
      <c r="D90" s="20" t="n">
        <v>97</v>
      </c>
      <c r="E90" s="21" t="n">
        <v>162.23</v>
      </c>
      <c r="F90" s="21" t="n">
        <f aca="false">D90*E90</f>
        <v>15736.31</v>
      </c>
      <c r="G90" s="21" t="n">
        <v>9557.24</v>
      </c>
      <c r="H90" s="21" t="n">
        <f aca="false">F90-G90</f>
        <v>6179.07</v>
      </c>
      <c r="I90" s="20" t="n">
        <v>0</v>
      </c>
      <c r="J90" s="21" t="n">
        <f aca="false">F90-I90*E90</f>
        <v>15736.31</v>
      </c>
    </row>
    <row r="91" customFormat="false" ht="15" hidden="false" customHeight="false" outlineLevel="0" collapsed="false">
      <c r="A91" s="0" t="s">
        <v>36</v>
      </c>
      <c r="B91" s="0" t="s">
        <v>34</v>
      </c>
      <c r="C91" s="0" t="s">
        <v>29</v>
      </c>
      <c r="D91" s="0" t="n">
        <v>51</v>
      </c>
      <c r="E91" s="22" t="n">
        <v>90.05</v>
      </c>
      <c r="F91" s="22" t="n">
        <f aca="false">D91*E91</f>
        <v>4592.55</v>
      </c>
      <c r="G91" s="22" t="n">
        <v>1987.22</v>
      </c>
      <c r="H91" s="22" t="n">
        <f aca="false">F91-G91</f>
        <v>2605.33</v>
      </c>
      <c r="I91" s="0" t="n">
        <v>1</v>
      </c>
      <c r="J91" s="22" t="n">
        <f aca="false">F91-I91*E91</f>
        <v>4502.5</v>
      </c>
    </row>
    <row r="92" customFormat="false" ht="15" hidden="false" customHeight="false" outlineLevel="0" collapsed="false">
      <c r="A92" s="20" t="s">
        <v>37</v>
      </c>
      <c r="B92" s="20" t="s">
        <v>24</v>
      </c>
      <c r="C92" s="20" t="s">
        <v>25</v>
      </c>
      <c r="D92" s="20" t="n">
        <v>132</v>
      </c>
      <c r="E92" s="21" t="n">
        <v>187.9</v>
      </c>
      <c r="F92" s="21" t="n">
        <f aca="false">D92*E92</f>
        <v>24802.8</v>
      </c>
      <c r="G92" s="21" t="n">
        <v>13341.92</v>
      </c>
      <c r="H92" s="21" t="n">
        <f aca="false">F92-G92</f>
        <v>11460.88</v>
      </c>
      <c r="I92" s="20" t="n">
        <v>3</v>
      </c>
      <c r="J92" s="21" t="n">
        <f aca="false">F92-I92*E92</f>
        <v>24239.1</v>
      </c>
    </row>
    <row r="93" customFormat="false" ht="15" hidden="false" customHeight="false" outlineLevel="0" collapsed="false">
      <c r="A93" s="0" t="s">
        <v>37</v>
      </c>
      <c r="B93" s="0" t="s">
        <v>24</v>
      </c>
      <c r="C93" s="0" t="s">
        <v>26</v>
      </c>
      <c r="D93" s="0" t="n">
        <v>337</v>
      </c>
      <c r="E93" s="22" t="n">
        <v>12.32</v>
      </c>
      <c r="F93" s="22" t="n">
        <f aca="false">D93*E93</f>
        <v>4151.84</v>
      </c>
      <c r="G93" s="22" t="n">
        <v>1738.84</v>
      </c>
      <c r="H93" s="22" t="n">
        <f aca="false">F93-G93</f>
        <v>2413</v>
      </c>
      <c r="I93" s="0" t="n">
        <v>4</v>
      </c>
      <c r="J93" s="22" t="n">
        <f aca="false">F93-I93*E93</f>
        <v>4102.56</v>
      </c>
    </row>
    <row r="94" customFormat="false" ht="15" hidden="false" customHeight="false" outlineLevel="0" collapsed="false">
      <c r="A94" s="20" t="s">
        <v>37</v>
      </c>
      <c r="B94" s="20" t="s">
        <v>24</v>
      </c>
      <c r="C94" s="20" t="s">
        <v>27</v>
      </c>
      <c r="D94" s="20" t="n">
        <v>329</v>
      </c>
      <c r="E94" s="21" t="n">
        <v>18.65</v>
      </c>
      <c r="F94" s="21" t="n">
        <f aca="false">D94*E94</f>
        <v>6135.85</v>
      </c>
      <c r="G94" s="21" t="n">
        <v>3020.7</v>
      </c>
      <c r="H94" s="21" t="n">
        <f aca="false">F94-G94</f>
        <v>3115.15</v>
      </c>
      <c r="I94" s="20" t="n">
        <v>4</v>
      </c>
      <c r="J94" s="21" t="n">
        <f aca="false">F94-I94*E94</f>
        <v>6061.25</v>
      </c>
    </row>
    <row r="95" customFormat="false" ht="15" hidden="false" customHeight="false" outlineLevel="0" collapsed="false">
      <c r="A95" s="0" t="s">
        <v>37</v>
      </c>
      <c r="B95" s="0" t="s">
        <v>24</v>
      </c>
      <c r="C95" s="0" t="s">
        <v>28</v>
      </c>
      <c r="D95" s="0" t="n">
        <v>270</v>
      </c>
      <c r="E95" s="22" t="n">
        <v>40.59</v>
      </c>
      <c r="F95" s="22" t="n">
        <f aca="false">D95*E95</f>
        <v>10959.3</v>
      </c>
      <c r="G95" s="22" t="n">
        <v>5228.29</v>
      </c>
      <c r="H95" s="22" t="n">
        <f aca="false">F95-G95</f>
        <v>5731.01</v>
      </c>
      <c r="I95" s="0" t="n">
        <v>12</v>
      </c>
      <c r="J95" s="22" t="n">
        <f aca="false">F95-I95*E95</f>
        <v>10472.22</v>
      </c>
    </row>
    <row r="96" customFormat="false" ht="15" hidden="false" customHeight="false" outlineLevel="0" collapsed="false">
      <c r="A96" s="20" t="s">
        <v>37</v>
      </c>
      <c r="B96" s="20" t="s">
        <v>24</v>
      </c>
      <c r="C96" s="20" t="s">
        <v>29</v>
      </c>
      <c r="D96" s="20" t="n">
        <v>490</v>
      </c>
      <c r="E96" s="21" t="n">
        <v>19.57</v>
      </c>
      <c r="F96" s="21" t="n">
        <f aca="false">D96*E96</f>
        <v>9589.3</v>
      </c>
      <c r="G96" s="21" t="n">
        <v>4693.51</v>
      </c>
      <c r="H96" s="21" t="n">
        <f aca="false">F96-G96</f>
        <v>4895.79</v>
      </c>
      <c r="I96" s="20" t="n">
        <v>21</v>
      </c>
      <c r="J96" s="21" t="n">
        <f aca="false">F96-I96*E96</f>
        <v>9178.33</v>
      </c>
    </row>
    <row r="97" customFormat="false" ht="15" hidden="false" customHeight="false" outlineLevel="0" collapsed="false">
      <c r="A97" s="0" t="s">
        <v>37</v>
      </c>
      <c r="B97" s="0" t="s">
        <v>30</v>
      </c>
      <c r="C97" s="0" t="s">
        <v>25</v>
      </c>
      <c r="D97" s="0" t="n">
        <v>177</v>
      </c>
      <c r="E97" s="22" t="n">
        <v>170.06</v>
      </c>
      <c r="F97" s="22" t="n">
        <f aca="false">D97*E97</f>
        <v>30100.62</v>
      </c>
      <c r="G97" s="22" t="n">
        <v>14701.73</v>
      </c>
      <c r="H97" s="22" t="n">
        <f aca="false">F97-G97</f>
        <v>15398.89</v>
      </c>
      <c r="I97" s="0" t="n">
        <v>8</v>
      </c>
      <c r="J97" s="22" t="n">
        <f aca="false">F97-I97*E97</f>
        <v>28740.14</v>
      </c>
    </row>
    <row r="98" customFormat="false" ht="15" hidden="false" customHeight="false" outlineLevel="0" collapsed="false">
      <c r="A98" s="20" t="s">
        <v>37</v>
      </c>
      <c r="B98" s="20" t="s">
        <v>30</v>
      </c>
      <c r="C98" s="20" t="s">
        <v>26</v>
      </c>
      <c r="D98" s="20" t="n">
        <v>497</v>
      </c>
      <c r="E98" s="21" t="n">
        <v>107.53</v>
      </c>
      <c r="F98" s="21" t="n">
        <f aca="false">D98*E98</f>
        <v>53442.41</v>
      </c>
      <c r="G98" s="21" t="n">
        <v>29669.38</v>
      </c>
      <c r="H98" s="21" t="n">
        <f aca="false">F98-G98</f>
        <v>23773.03</v>
      </c>
      <c r="I98" s="20" t="n">
        <v>4</v>
      </c>
      <c r="J98" s="21" t="n">
        <f aca="false">F98-I98*E98</f>
        <v>53012.29</v>
      </c>
    </row>
    <row r="99" customFormat="false" ht="15" hidden="false" customHeight="false" outlineLevel="0" collapsed="false">
      <c r="A99" s="0" t="s">
        <v>37</v>
      </c>
      <c r="B99" s="0" t="s">
        <v>30</v>
      </c>
      <c r="C99" s="0" t="s">
        <v>27</v>
      </c>
      <c r="D99" s="0" t="n">
        <v>171</v>
      </c>
      <c r="E99" s="22" t="n">
        <v>217.51</v>
      </c>
      <c r="F99" s="22" t="n">
        <f aca="false">D99*E99</f>
        <v>37194.21</v>
      </c>
      <c r="G99" s="22" t="n">
        <v>23954.99</v>
      </c>
      <c r="H99" s="22" t="n">
        <f aca="false">F99-G99</f>
        <v>13239.22</v>
      </c>
      <c r="I99" s="0" t="n">
        <v>2</v>
      </c>
      <c r="J99" s="22" t="n">
        <f aca="false">F99-I99*E99</f>
        <v>36759.19</v>
      </c>
    </row>
    <row r="100" customFormat="false" ht="15" hidden="false" customHeight="false" outlineLevel="0" collapsed="false">
      <c r="A100" s="20" t="s">
        <v>37</v>
      </c>
      <c r="B100" s="20" t="s">
        <v>30</v>
      </c>
      <c r="C100" s="20" t="s">
        <v>28</v>
      </c>
      <c r="D100" s="20" t="n">
        <v>261</v>
      </c>
      <c r="E100" s="21" t="n">
        <v>15.95</v>
      </c>
      <c r="F100" s="21" t="n">
        <f aca="false">D100*E100</f>
        <v>4162.95</v>
      </c>
      <c r="G100" s="21" t="n">
        <v>2431.75</v>
      </c>
      <c r="H100" s="21" t="n">
        <f aca="false">F100-G100</f>
        <v>1731.2</v>
      </c>
      <c r="I100" s="20" t="n">
        <v>5</v>
      </c>
      <c r="J100" s="21" t="n">
        <f aca="false">F100-I100*E100</f>
        <v>4083.2</v>
      </c>
    </row>
    <row r="101" customFormat="false" ht="15" hidden="false" customHeight="false" outlineLevel="0" collapsed="false">
      <c r="A101" s="0" t="s">
        <v>37</v>
      </c>
      <c r="B101" s="0" t="s">
        <v>30</v>
      </c>
      <c r="C101" s="0" t="s">
        <v>29</v>
      </c>
      <c r="D101" s="0" t="n">
        <v>450</v>
      </c>
      <c r="E101" s="22" t="n">
        <v>233.4</v>
      </c>
      <c r="F101" s="22" t="n">
        <f aca="false">D101*E101</f>
        <v>105030</v>
      </c>
      <c r="G101" s="22" t="n">
        <v>63076.69</v>
      </c>
      <c r="H101" s="22" t="n">
        <f aca="false">F101-G101</f>
        <v>41953.31</v>
      </c>
      <c r="I101" s="0" t="n">
        <v>7</v>
      </c>
      <c r="J101" s="22" t="n">
        <f aca="false">F101-I101*E101</f>
        <v>103396.2</v>
      </c>
    </row>
    <row r="102" customFormat="false" ht="15" hidden="false" customHeight="false" outlineLevel="0" collapsed="false">
      <c r="A102" s="20" t="s">
        <v>37</v>
      </c>
      <c r="B102" s="20" t="s">
        <v>31</v>
      </c>
      <c r="C102" s="20" t="s">
        <v>25</v>
      </c>
      <c r="D102" s="20" t="n">
        <v>186</v>
      </c>
      <c r="E102" s="21" t="n">
        <v>48.21</v>
      </c>
      <c r="F102" s="21" t="n">
        <f aca="false">D102*E102</f>
        <v>8967.06</v>
      </c>
      <c r="G102" s="21" t="n">
        <v>5158.92</v>
      </c>
      <c r="H102" s="21" t="n">
        <f aca="false">F102-G102</f>
        <v>3808.14</v>
      </c>
      <c r="I102" s="20" t="n">
        <v>6</v>
      </c>
      <c r="J102" s="21" t="n">
        <f aca="false">F102-I102*E102</f>
        <v>8677.8</v>
      </c>
    </row>
    <row r="103" customFormat="false" ht="15" hidden="false" customHeight="false" outlineLevel="0" collapsed="false">
      <c r="A103" s="0" t="s">
        <v>37</v>
      </c>
      <c r="B103" s="0" t="s">
        <v>31</v>
      </c>
      <c r="C103" s="0" t="s">
        <v>26</v>
      </c>
      <c r="D103" s="0" t="n">
        <v>496</v>
      </c>
      <c r="E103" s="22" t="n">
        <v>19.29</v>
      </c>
      <c r="F103" s="22" t="n">
        <f aca="false">D103*E103</f>
        <v>9567.84</v>
      </c>
      <c r="G103" s="22" t="n">
        <v>4953.01</v>
      </c>
      <c r="H103" s="22" t="n">
        <f aca="false">F103-G103</f>
        <v>4614.83</v>
      </c>
      <c r="I103" s="0" t="n">
        <v>6</v>
      </c>
      <c r="J103" s="22" t="n">
        <f aca="false">F103-I103*E103</f>
        <v>9452.1</v>
      </c>
    </row>
    <row r="104" customFormat="false" ht="15" hidden="false" customHeight="false" outlineLevel="0" collapsed="false">
      <c r="A104" s="20" t="s">
        <v>37</v>
      </c>
      <c r="B104" s="20" t="s">
        <v>31</v>
      </c>
      <c r="C104" s="20" t="s">
        <v>27</v>
      </c>
      <c r="D104" s="20" t="n">
        <v>468</v>
      </c>
      <c r="E104" s="21" t="n">
        <v>230.43</v>
      </c>
      <c r="F104" s="21" t="n">
        <f aca="false">D104*E104</f>
        <v>107841.24</v>
      </c>
      <c r="G104" s="21" t="n">
        <v>52563.4</v>
      </c>
      <c r="H104" s="21" t="n">
        <f aca="false">F104-G104</f>
        <v>55277.84</v>
      </c>
      <c r="I104" s="20" t="n">
        <v>7</v>
      </c>
      <c r="J104" s="21" t="n">
        <f aca="false">F104-I104*E104</f>
        <v>106228.23</v>
      </c>
    </row>
    <row r="105" customFormat="false" ht="15" hidden="false" customHeight="false" outlineLevel="0" collapsed="false">
      <c r="A105" s="0" t="s">
        <v>37</v>
      </c>
      <c r="B105" s="0" t="s">
        <v>31</v>
      </c>
      <c r="C105" s="0" t="s">
        <v>28</v>
      </c>
      <c r="D105" s="0" t="n">
        <v>164</v>
      </c>
      <c r="E105" s="22" t="n">
        <v>15.68</v>
      </c>
      <c r="F105" s="22" t="n">
        <f aca="false">D105*E105</f>
        <v>2571.52</v>
      </c>
      <c r="G105" s="22" t="n">
        <v>1152.77</v>
      </c>
      <c r="H105" s="22" t="n">
        <f aca="false">F105-G105</f>
        <v>1418.75</v>
      </c>
      <c r="I105" s="0" t="n">
        <v>5</v>
      </c>
      <c r="J105" s="22" t="n">
        <f aca="false">F105-I105*E105</f>
        <v>2493.12</v>
      </c>
    </row>
    <row r="106" customFormat="false" ht="15" hidden="false" customHeight="false" outlineLevel="0" collapsed="false">
      <c r="A106" s="20" t="s">
        <v>37</v>
      </c>
      <c r="B106" s="20" t="s">
        <v>31</v>
      </c>
      <c r="C106" s="20" t="s">
        <v>29</v>
      </c>
      <c r="D106" s="20" t="n">
        <v>192</v>
      </c>
      <c r="E106" s="21" t="n">
        <v>217.44</v>
      </c>
      <c r="F106" s="21" t="n">
        <f aca="false">D106*E106</f>
        <v>41748.48</v>
      </c>
      <c r="G106" s="21" t="n">
        <v>26790.93</v>
      </c>
      <c r="H106" s="21" t="n">
        <f aca="false">F106-G106</f>
        <v>14957.55</v>
      </c>
      <c r="I106" s="20" t="n">
        <v>4</v>
      </c>
      <c r="J106" s="21" t="n">
        <f aca="false">F106-I106*E106</f>
        <v>40878.72</v>
      </c>
    </row>
    <row r="107" customFormat="false" ht="15" hidden="false" customHeight="false" outlineLevel="0" collapsed="false">
      <c r="A107" s="0" t="s">
        <v>37</v>
      </c>
      <c r="B107" s="0" t="s">
        <v>32</v>
      </c>
      <c r="C107" s="0" t="s">
        <v>25</v>
      </c>
      <c r="D107" s="0" t="n">
        <v>229</v>
      </c>
      <c r="E107" s="22" t="n">
        <v>163.96</v>
      </c>
      <c r="F107" s="22" t="n">
        <f aca="false">D107*E107</f>
        <v>37546.84</v>
      </c>
      <c r="G107" s="22" t="n">
        <v>18770.4</v>
      </c>
      <c r="H107" s="22" t="n">
        <f aca="false">F107-G107</f>
        <v>18776.44</v>
      </c>
      <c r="I107" s="0" t="n">
        <v>8</v>
      </c>
      <c r="J107" s="22" t="n">
        <f aca="false">F107-I107*E107</f>
        <v>36235.16</v>
      </c>
    </row>
    <row r="108" customFormat="false" ht="15" hidden="false" customHeight="false" outlineLevel="0" collapsed="false">
      <c r="A108" s="20" t="s">
        <v>37</v>
      </c>
      <c r="B108" s="20" t="s">
        <v>32</v>
      </c>
      <c r="C108" s="20" t="s">
        <v>26</v>
      </c>
      <c r="D108" s="20" t="n">
        <v>219</v>
      </c>
      <c r="E108" s="21" t="n">
        <v>235.42</v>
      </c>
      <c r="F108" s="21" t="n">
        <f aca="false">D108*E108</f>
        <v>51556.98</v>
      </c>
      <c r="G108" s="21" t="n">
        <v>22109.46</v>
      </c>
      <c r="H108" s="21" t="n">
        <f aca="false">F108-G108</f>
        <v>29447.52</v>
      </c>
      <c r="I108" s="20" t="n">
        <v>4</v>
      </c>
      <c r="J108" s="21" t="n">
        <f aca="false">F108-I108*E108</f>
        <v>50615.3</v>
      </c>
    </row>
    <row r="109" customFormat="false" ht="15" hidden="false" customHeight="false" outlineLevel="0" collapsed="false">
      <c r="A109" s="0" t="s">
        <v>37</v>
      </c>
      <c r="B109" s="0" t="s">
        <v>32</v>
      </c>
      <c r="C109" s="0" t="s">
        <v>27</v>
      </c>
      <c r="D109" s="0" t="n">
        <v>141</v>
      </c>
      <c r="E109" s="22" t="n">
        <v>149.34</v>
      </c>
      <c r="F109" s="22" t="n">
        <f aca="false">D109*E109</f>
        <v>21056.94</v>
      </c>
      <c r="G109" s="22" t="n">
        <v>13600.42</v>
      </c>
      <c r="H109" s="22" t="n">
        <f aca="false">F109-G109</f>
        <v>7456.52</v>
      </c>
      <c r="I109" s="0" t="n">
        <v>0</v>
      </c>
      <c r="J109" s="22" t="n">
        <f aca="false">F109-I109*E109</f>
        <v>21056.94</v>
      </c>
    </row>
    <row r="110" customFormat="false" ht="15" hidden="false" customHeight="false" outlineLevel="0" collapsed="false">
      <c r="A110" s="20" t="s">
        <v>37</v>
      </c>
      <c r="B110" s="20" t="s">
        <v>32</v>
      </c>
      <c r="C110" s="20" t="s">
        <v>28</v>
      </c>
      <c r="D110" s="20" t="n">
        <v>105</v>
      </c>
      <c r="E110" s="21" t="n">
        <v>153.18</v>
      </c>
      <c r="F110" s="21" t="n">
        <f aca="false">D110*E110</f>
        <v>16083.9</v>
      </c>
      <c r="G110" s="21" t="n">
        <v>7823.56</v>
      </c>
      <c r="H110" s="21" t="n">
        <f aca="false">F110-G110</f>
        <v>8260.34</v>
      </c>
      <c r="I110" s="20" t="n">
        <v>2</v>
      </c>
      <c r="J110" s="21" t="n">
        <f aca="false">F110-I110*E110</f>
        <v>15777.54</v>
      </c>
    </row>
    <row r="111" customFormat="false" ht="15" hidden="false" customHeight="false" outlineLevel="0" collapsed="false">
      <c r="A111" s="0" t="s">
        <v>37</v>
      </c>
      <c r="B111" s="0" t="s">
        <v>32</v>
      </c>
      <c r="C111" s="0" t="s">
        <v>29</v>
      </c>
      <c r="D111" s="0" t="n">
        <v>273</v>
      </c>
      <c r="E111" s="22" t="n">
        <v>155.49</v>
      </c>
      <c r="F111" s="22" t="n">
        <f aca="false">D111*E111</f>
        <v>42448.77</v>
      </c>
      <c r="G111" s="22" t="n">
        <v>22406.83</v>
      </c>
      <c r="H111" s="22" t="n">
        <f aca="false">F111-G111</f>
        <v>20041.94</v>
      </c>
      <c r="I111" s="0" t="n">
        <v>6</v>
      </c>
      <c r="J111" s="22" t="n">
        <f aca="false">F111-I111*E111</f>
        <v>41515.83</v>
      </c>
    </row>
    <row r="112" customFormat="false" ht="15" hidden="false" customHeight="false" outlineLevel="0" collapsed="false">
      <c r="A112" s="20" t="s">
        <v>37</v>
      </c>
      <c r="B112" s="20" t="s">
        <v>33</v>
      </c>
      <c r="C112" s="20" t="s">
        <v>25</v>
      </c>
      <c r="D112" s="20" t="n">
        <v>345</v>
      </c>
      <c r="E112" s="21" t="n">
        <v>55.62</v>
      </c>
      <c r="F112" s="21" t="n">
        <f aca="false">D112*E112</f>
        <v>19188.9</v>
      </c>
      <c r="G112" s="21" t="n">
        <v>7888.49</v>
      </c>
      <c r="H112" s="21" t="n">
        <f aca="false">F112-G112</f>
        <v>11300.41</v>
      </c>
      <c r="I112" s="20" t="n">
        <v>13</v>
      </c>
      <c r="J112" s="21" t="n">
        <f aca="false">F112-I112*E112</f>
        <v>18465.84</v>
      </c>
    </row>
    <row r="113" customFormat="false" ht="15" hidden="false" customHeight="false" outlineLevel="0" collapsed="false">
      <c r="A113" s="0" t="s">
        <v>37</v>
      </c>
      <c r="B113" s="0" t="s">
        <v>33</v>
      </c>
      <c r="C113" s="0" t="s">
        <v>26</v>
      </c>
      <c r="D113" s="0" t="n">
        <v>50</v>
      </c>
      <c r="E113" s="22" t="n">
        <v>134.78</v>
      </c>
      <c r="F113" s="22" t="n">
        <f aca="false">D113*E113</f>
        <v>6739</v>
      </c>
      <c r="G113" s="22" t="n">
        <v>4054.37</v>
      </c>
      <c r="H113" s="22" t="n">
        <f aca="false">F113-G113</f>
        <v>2684.63</v>
      </c>
      <c r="I113" s="0" t="n">
        <v>2</v>
      </c>
      <c r="J113" s="22" t="n">
        <f aca="false">F113-I113*E113</f>
        <v>6469.44</v>
      </c>
    </row>
    <row r="114" customFormat="false" ht="15" hidden="false" customHeight="false" outlineLevel="0" collapsed="false">
      <c r="A114" s="20" t="s">
        <v>37</v>
      </c>
      <c r="B114" s="20" t="s">
        <v>33</v>
      </c>
      <c r="C114" s="20" t="s">
        <v>27</v>
      </c>
      <c r="D114" s="20" t="n">
        <v>418</v>
      </c>
      <c r="E114" s="21" t="n">
        <v>235.66</v>
      </c>
      <c r="F114" s="21" t="n">
        <f aca="false">D114*E114</f>
        <v>98505.88</v>
      </c>
      <c r="G114" s="21" t="n">
        <v>57552.99</v>
      </c>
      <c r="H114" s="21" t="n">
        <f aca="false">F114-G114</f>
        <v>40952.89</v>
      </c>
      <c r="I114" s="20" t="n">
        <v>6</v>
      </c>
      <c r="J114" s="21" t="n">
        <f aca="false">F114-I114*E114</f>
        <v>97091.92</v>
      </c>
    </row>
    <row r="115" customFormat="false" ht="15" hidden="false" customHeight="false" outlineLevel="0" collapsed="false">
      <c r="A115" s="0" t="s">
        <v>37</v>
      </c>
      <c r="B115" s="0" t="s">
        <v>33</v>
      </c>
      <c r="C115" s="0" t="s">
        <v>28</v>
      </c>
      <c r="D115" s="0" t="n">
        <v>236</v>
      </c>
      <c r="E115" s="22" t="n">
        <v>113.51</v>
      </c>
      <c r="F115" s="22" t="n">
        <f aca="false">D115*E115</f>
        <v>26788.36</v>
      </c>
      <c r="G115" s="22" t="n">
        <v>17070.04</v>
      </c>
      <c r="H115" s="22" t="n">
        <f aca="false">F115-G115</f>
        <v>9718.32</v>
      </c>
      <c r="I115" s="0" t="n">
        <v>5</v>
      </c>
      <c r="J115" s="22" t="n">
        <f aca="false">F115-I115*E115</f>
        <v>26220.81</v>
      </c>
    </row>
    <row r="116" customFormat="false" ht="15" hidden="false" customHeight="false" outlineLevel="0" collapsed="false">
      <c r="A116" s="20" t="s">
        <v>37</v>
      </c>
      <c r="B116" s="20" t="s">
        <v>33</v>
      </c>
      <c r="C116" s="20" t="s">
        <v>29</v>
      </c>
      <c r="D116" s="20" t="n">
        <v>369</v>
      </c>
      <c r="E116" s="21" t="n">
        <v>85.34</v>
      </c>
      <c r="F116" s="21" t="n">
        <f aca="false">D116*E116</f>
        <v>31490.46</v>
      </c>
      <c r="G116" s="21" t="n">
        <v>19272.28</v>
      </c>
      <c r="H116" s="21" t="n">
        <f aca="false">F116-G116</f>
        <v>12218.18</v>
      </c>
      <c r="I116" s="20" t="n">
        <v>9</v>
      </c>
      <c r="J116" s="21" t="n">
        <f aca="false">F116-I116*E116</f>
        <v>30722.4</v>
      </c>
    </row>
    <row r="117" customFormat="false" ht="15" hidden="false" customHeight="false" outlineLevel="0" collapsed="false">
      <c r="A117" s="0" t="s">
        <v>37</v>
      </c>
      <c r="B117" s="0" t="s">
        <v>34</v>
      </c>
      <c r="C117" s="0" t="s">
        <v>25</v>
      </c>
      <c r="D117" s="0" t="n">
        <v>309</v>
      </c>
      <c r="E117" s="22" t="n">
        <v>84.23</v>
      </c>
      <c r="F117" s="22" t="n">
        <f aca="false">D117*E117</f>
        <v>26027.07</v>
      </c>
      <c r="G117" s="22" t="n">
        <v>13068.15</v>
      </c>
      <c r="H117" s="22" t="n">
        <f aca="false">F117-G117</f>
        <v>12958.92</v>
      </c>
      <c r="I117" s="0" t="n">
        <v>12</v>
      </c>
      <c r="J117" s="22" t="n">
        <f aca="false">F117-I117*E117</f>
        <v>25016.31</v>
      </c>
    </row>
    <row r="118" customFormat="false" ht="15" hidden="false" customHeight="false" outlineLevel="0" collapsed="false">
      <c r="A118" s="20" t="s">
        <v>37</v>
      </c>
      <c r="B118" s="20" t="s">
        <v>34</v>
      </c>
      <c r="C118" s="20" t="s">
        <v>26</v>
      </c>
      <c r="D118" s="20" t="n">
        <v>406</v>
      </c>
      <c r="E118" s="21" t="n">
        <v>80.96</v>
      </c>
      <c r="F118" s="21" t="n">
        <f aca="false">D118*E118</f>
        <v>32869.76</v>
      </c>
      <c r="G118" s="21" t="n">
        <v>14193.88</v>
      </c>
      <c r="H118" s="21" t="n">
        <f aca="false">F118-G118</f>
        <v>18675.88</v>
      </c>
      <c r="I118" s="20" t="n">
        <v>13</v>
      </c>
      <c r="J118" s="21" t="n">
        <f aca="false">F118-I118*E118</f>
        <v>31817.28</v>
      </c>
    </row>
    <row r="119" customFormat="false" ht="15" hidden="false" customHeight="false" outlineLevel="0" collapsed="false">
      <c r="A119" s="0" t="s">
        <v>37</v>
      </c>
      <c r="B119" s="0" t="s">
        <v>34</v>
      </c>
      <c r="C119" s="0" t="s">
        <v>27</v>
      </c>
      <c r="D119" s="0" t="n">
        <v>390</v>
      </c>
      <c r="E119" s="22" t="n">
        <v>235.69</v>
      </c>
      <c r="F119" s="22" t="n">
        <f aca="false">D119*E119</f>
        <v>91919.1</v>
      </c>
      <c r="G119" s="22" t="n">
        <v>52332.25</v>
      </c>
      <c r="H119" s="22" t="n">
        <f aca="false">F119-G119</f>
        <v>39586.85</v>
      </c>
      <c r="I119" s="0" t="n">
        <v>5</v>
      </c>
      <c r="J119" s="22" t="n">
        <f aca="false">F119-I119*E119</f>
        <v>90740.65</v>
      </c>
    </row>
    <row r="120" customFormat="false" ht="15" hidden="false" customHeight="false" outlineLevel="0" collapsed="false">
      <c r="A120" s="20" t="s">
        <v>37</v>
      </c>
      <c r="B120" s="20" t="s">
        <v>34</v>
      </c>
      <c r="C120" s="20" t="s">
        <v>28</v>
      </c>
      <c r="D120" s="20" t="n">
        <v>365</v>
      </c>
      <c r="E120" s="21" t="n">
        <v>146.59</v>
      </c>
      <c r="F120" s="21" t="n">
        <f aca="false">D120*E120</f>
        <v>53505.35</v>
      </c>
      <c r="G120" s="21" t="n">
        <v>26833.94</v>
      </c>
      <c r="H120" s="21" t="n">
        <f aca="false">F120-G120</f>
        <v>26671.41</v>
      </c>
      <c r="I120" s="20" t="n">
        <v>0</v>
      </c>
      <c r="J120" s="21" t="n">
        <f aca="false">F120-I120*E120</f>
        <v>53505.35</v>
      </c>
    </row>
    <row r="121" customFormat="false" ht="15" hidden="false" customHeight="false" outlineLevel="0" collapsed="false">
      <c r="A121" s="0" t="s">
        <v>37</v>
      </c>
      <c r="B121" s="0" t="s">
        <v>34</v>
      </c>
      <c r="C121" s="0" t="s">
        <v>29</v>
      </c>
      <c r="D121" s="0" t="n">
        <v>205</v>
      </c>
      <c r="E121" s="22" t="n">
        <v>78.86</v>
      </c>
      <c r="F121" s="22" t="n">
        <f aca="false">D121*E121</f>
        <v>16166.3</v>
      </c>
      <c r="G121" s="22" t="n">
        <v>8203.95</v>
      </c>
      <c r="H121" s="22" t="n">
        <f aca="false">F121-G121</f>
        <v>7962.35</v>
      </c>
      <c r="I121" s="0" t="n">
        <v>9</v>
      </c>
      <c r="J121" s="22" t="n">
        <f aca="false">F121-I121*E121</f>
        <v>15456.56</v>
      </c>
    </row>
    <row r="122" customFormat="false" ht="15" hidden="false" customHeight="false" outlineLevel="0" collapsed="false">
      <c r="A122" s="20" t="s">
        <v>38</v>
      </c>
      <c r="B122" s="20" t="s">
        <v>24</v>
      </c>
      <c r="C122" s="20" t="s">
        <v>25</v>
      </c>
      <c r="D122" s="20" t="n">
        <v>360</v>
      </c>
      <c r="E122" s="21" t="n">
        <v>167.13</v>
      </c>
      <c r="F122" s="21" t="n">
        <f aca="false">D122*E122</f>
        <v>60166.8</v>
      </c>
      <c r="G122" s="21" t="n">
        <v>31060.93</v>
      </c>
      <c r="H122" s="21" t="n">
        <f aca="false">F122-G122</f>
        <v>29105.87</v>
      </c>
      <c r="I122" s="20" t="n">
        <v>14</v>
      </c>
      <c r="J122" s="21" t="n">
        <f aca="false">F122-I122*E122</f>
        <v>57826.98</v>
      </c>
    </row>
    <row r="123" customFormat="false" ht="15" hidden="false" customHeight="false" outlineLevel="0" collapsed="false">
      <c r="A123" s="0" t="s">
        <v>38</v>
      </c>
      <c r="B123" s="0" t="s">
        <v>24</v>
      </c>
      <c r="C123" s="0" t="s">
        <v>26</v>
      </c>
      <c r="D123" s="0" t="n">
        <v>395</v>
      </c>
      <c r="E123" s="22" t="n">
        <v>61.29</v>
      </c>
      <c r="F123" s="22" t="n">
        <f aca="false">D123*E123</f>
        <v>24209.55</v>
      </c>
      <c r="G123" s="22" t="n">
        <v>12547.73</v>
      </c>
      <c r="H123" s="22" t="n">
        <f aca="false">F123-G123</f>
        <v>11661.82</v>
      </c>
      <c r="I123" s="0" t="n">
        <v>5</v>
      </c>
      <c r="J123" s="22" t="n">
        <f aca="false">F123-I123*E123</f>
        <v>23903.1</v>
      </c>
    </row>
    <row r="124" customFormat="false" ht="15" hidden="false" customHeight="false" outlineLevel="0" collapsed="false">
      <c r="A124" s="20" t="s">
        <v>38</v>
      </c>
      <c r="B124" s="20" t="s">
        <v>24</v>
      </c>
      <c r="C124" s="20" t="s">
        <v>27</v>
      </c>
      <c r="D124" s="20" t="n">
        <v>387</v>
      </c>
      <c r="E124" s="21" t="n">
        <v>30.35</v>
      </c>
      <c r="F124" s="21" t="n">
        <f aca="false">D124*E124</f>
        <v>11745.45</v>
      </c>
      <c r="G124" s="21" t="n">
        <v>6211.73</v>
      </c>
      <c r="H124" s="21" t="n">
        <f aca="false">F124-G124</f>
        <v>5533.72</v>
      </c>
      <c r="I124" s="20" t="n">
        <v>19</v>
      </c>
      <c r="J124" s="21" t="n">
        <f aca="false">F124-I124*E124</f>
        <v>11168.8</v>
      </c>
    </row>
    <row r="125" customFormat="false" ht="15" hidden="false" customHeight="false" outlineLevel="0" collapsed="false">
      <c r="A125" s="0" t="s">
        <v>38</v>
      </c>
      <c r="B125" s="0" t="s">
        <v>24</v>
      </c>
      <c r="C125" s="0" t="s">
        <v>28</v>
      </c>
      <c r="D125" s="0" t="n">
        <v>221</v>
      </c>
      <c r="E125" s="22" t="n">
        <v>32.41</v>
      </c>
      <c r="F125" s="22" t="n">
        <f aca="false">D125*E125</f>
        <v>7162.61</v>
      </c>
      <c r="G125" s="22" t="n">
        <v>4569.74</v>
      </c>
      <c r="H125" s="22" t="n">
        <f aca="false">F125-G125</f>
        <v>2592.87</v>
      </c>
      <c r="I125" s="0" t="n">
        <v>3</v>
      </c>
      <c r="J125" s="22" t="n">
        <f aca="false">F125-I125*E125</f>
        <v>7065.38</v>
      </c>
    </row>
    <row r="126" customFormat="false" ht="15" hidden="false" customHeight="false" outlineLevel="0" collapsed="false">
      <c r="A126" s="20" t="s">
        <v>38</v>
      </c>
      <c r="B126" s="20" t="s">
        <v>24</v>
      </c>
      <c r="C126" s="20" t="s">
        <v>29</v>
      </c>
      <c r="D126" s="20" t="n">
        <v>394</v>
      </c>
      <c r="E126" s="21" t="n">
        <v>84.5</v>
      </c>
      <c r="F126" s="21" t="n">
        <f aca="false">D126*E126</f>
        <v>33293</v>
      </c>
      <c r="G126" s="21" t="n">
        <v>20030.42</v>
      </c>
      <c r="H126" s="21" t="n">
        <f aca="false">F126-G126</f>
        <v>13262.58</v>
      </c>
      <c r="I126" s="20" t="n">
        <v>4</v>
      </c>
      <c r="J126" s="21" t="n">
        <f aca="false">F126-I126*E126</f>
        <v>32955</v>
      </c>
    </row>
    <row r="127" customFormat="false" ht="15" hidden="false" customHeight="false" outlineLevel="0" collapsed="false">
      <c r="A127" s="0" t="s">
        <v>38</v>
      </c>
      <c r="B127" s="0" t="s">
        <v>30</v>
      </c>
      <c r="C127" s="0" t="s">
        <v>25</v>
      </c>
      <c r="D127" s="0" t="n">
        <v>62</v>
      </c>
      <c r="E127" s="22" t="n">
        <v>21.09</v>
      </c>
      <c r="F127" s="22" t="n">
        <f aca="false">D127*E127</f>
        <v>1307.58</v>
      </c>
      <c r="G127" s="22" t="n">
        <v>844.68</v>
      </c>
      <c r="H127" s="22" t="n">
        <f aca="false">F127-G127</f>
        <v>462.9</v>
      </c>
      <c r="I127" s="0" t="n">
        <v>0</v>
      </c>
      <c r="J127" s="22" t="n">
        <f aca="false">F127-I127*E127</f>
        <v>1307.58</v>
      </c>
    </row>
    <row r="128" customFormat="false" ht="15" hidden="false" customHeight="false" outlineLevel="0" collapsed="false">
      <c r="A128" s="20" t="s">
        <v>38</v>
      </c>
      <c r="B128" s="20" t="s">
        <v>30</v>
      </c>
      <c r="C128" s="20" t="s">
        <v>26</v>
      </c>
      <c r="D128" s="20" t="n">
        <v>283</v>
      </c>
      <c r="E128" s="21" t="n">
        <v>109.47</v>
      </c>
      <c r="F128" s="21" t="n">
        <f aca="false">D128*E128</f>
        <v>30980.01</v>
      </c>
      <c r="G128" s="21" t="n">
        <v>17269.54</v>
      </c>
      <c r="H128" s="21" t="n">
        <f aca="false">F128-G128</f>
        <v>13710.47</v>
      </c>
      <c r="I128" s="20" t="n">
        <v>3</v>
      </c>
      <c r="J128" s="21" t="n">
        <f aca="false">F128-I128*E128</f>
        <v>30651.6</v>
      </c>
    </row>
    <row r="129" customFormat="false" ht="15" hidden="false" customHeight="false" outlineLevel="0" collapsed="false">
      <c r="A129" s="0" t="s">
        <v>38</v>
      </c>
      <c r="B129" s="0" t="s">
        <v>30</v>
      </c>
      <c r="C129" s="0" t="s">
        <v>27</v>
      </c>
      <c r="D129" s="0" t="n">
        <v>417</v>
      </c>
      <c r="E129" s="22" t="n">
        <v>177.13</v>
      </c>
      <c r="F129" s="22" t="n">
        <f aca="false">D129*E129</f>
        <v>73863.21</v>
      </c>
      <c r="G129" s="22" t="n">
        <v>38674.36</v>
      </c>
      <c r="H129" s="22" t="n">
        <f aca="false">F129-G129</f>
        <v>35188.85</v>
      </c>
      <c r="I129" s="0" t="n">
        <v>7</v>
      </c>
      <c r="J129" s="22" t="n">
        <f aca="false">F129-I129*E129</f>
        <v>72623.3</v>
      </c>
    </row>
    <row r="130" customFormat="false" ht="15" hidden="false" customHeight="false" outlineLevel="0" collapsed="false">
      <c r="A130" s="20" t="s">
        <v>38</v>
      </c>
      <c r="B130" s="20" t="s">
        <v>30</v>
      </c>
      <c r="C130" s="20" t="s">
        <v>28</v>
      </c>
      <c r="D130" s="20" t="n">
        <v>125</v>
      </c>
      <c r="E130" s="21" t="n">
        <v>167.45</v>
      </c>
      <c r="F130" s="21" t="n">
        <f aca="false">D130*E130</f>
        <v>20931.25</v>
      </c>
      <c r="G130" s="21" t="n">
        <v>8401.51</v>
      </c>
      <c r="H130" s="21" t="n">
        <f aca="false">F130-G130</f>
        <v>12529.74</v>
      </c>
      <c r="I130" s="20" t="n">
        <v>6</v>
      </c>
      <c r="J130" s="21" t="n">
        <f aca="false">F130-I130*E130</f>
        <v>19926.55</v>
      </c>
    </row>
    <row r="131" customFormat="false" ht="15" hidden="false" customHeight="false" outlineLevel="0" collapsed="false">
      <c r="A131" s="0" t="s">
        <v>38</v>
      </c>
      <c r="B131" s="0" t="s">
        <v>30</v>
      </c>
      <c r="C131" s="0" t="s">
        <v>29</v>
      </c>
      <c r="D131" s="0" t="n">
        <v>490</v>
      </c>
      <c r="E131" s="22" t="n">
        <v>194.81</v>
      </c>
      <c r="F131" s="22" t="n">
        <f aca="false">D131*E131</f>
        <v>95456.9</v>
      </c>
      <c r="G131" s="22" t="n">
        <v>40726.38</v>
      </c>
      <c r="H131" s="22" t="n">
        <f aca="false">F131-G131</f>
        <v>54730.52</v>
      </c>
      <c r="I131" s="0" t="n">
        <v>13</v>
      </c>
      <c r="J131" s="22" t="n">
        <f aca="false">F131-I131*E131</f>
        <v>92924.37</v>
      </c>
    </row>
    <row r="132" customFormat="false" ht="15" hidden="false" customHeight="false" outlineLevel="0" collapsed="false">
      <c r="A132" s="20" t="s">
        <v>38</v>
      </c>
      <c r="B132" s="20" t="s">
        <v>31</v>
      </c>
      <c r="C132" s="20" t="s">
        <v>25</v>
      </c>
      <c r="D132" s="20" t="n">
        <v>162</v>
      </c>
      <c r="E132" s="21" t="n">
        <v>52.21</v>
      </c>
      <c r="F132" s="21" t="n">
        <f aca="false">D132*E132</f>
        <v>8458.02</v>
      </c>
      <c r="G132" s="21" t="n">
        <v>5408.83</v>
      </c>
      <c r="H132" s="21" t="n">
        <f aca="false">F132-G132</f>
        <v>3049.19</v>
      </c>
      <c r="I132" s="20" t="n">
        <v>8</v>
      </c>
      <c r="J132" s="21" t="n">
        <f aca="false">F132-I132*E132</f>
        <v>8040.34</v>
      </c>
    </row>
    <row r="133" customFormat="false" ht="15" hidden="false" customHeight="false" outlineLevel="0" collapsed="false">
      <c r="A133" s="0" t="s">
        <v>38</v>
      </c>
      <c r="B133" s="0" t="s">
        <v>31</v>
      </c>
      <c r="C133" s="0" t="s">
        <v>26</v>
      </c>
      <c r="D133" s="0" t="n">
        <v>287</v>
      </c>
      <c r="E133" s="22" t="n">
        <v>22.05</v>
      </c>
      <c r="F133" s="22" t="n">
        <f aca="false">D133*E133</f>
        <v>6328.35</v>
      </c>
      <c r="G133" s="22" t="n">
        <v>2925.59</v>
      </c>
      <c r="H133" s="22" t="n">
        <f aca="false">F133-G133</f>
        <v>3402.76</v>
      </c>
      <c r="I133" s="0" t="n">
        <v>13</v>
      </c>
      <c r="J133" s="22" t="n">
        <f aca="false">F133-I133*E133</f>
        <v>6041.7</v>
      </c>
    </row>
    <row r="134" customFormat="false" ht="15" hidden="false" customHeight="false" outlineLevel="0" collapsed="false">
      <c r="A134" s="20" t="s">
        <v>38</v>
      </c>
      <c r="B134" s="20" t="s">
        <v>31</v>
      </c>
      <c r="C134" s="20" t="s">
        <v>27</v>
      </c>
      <c r="D134" s="20" t="n">
        <v>112</v>
      </c>
      <c r="E134" s="21" t="n">
        <v>119.55</v>
      </c>
      <c r="F134" s="21" t="n">
        <f aca="false">D134*E134</f>
        <v>13389.6</v>
      </c>
      <c r="G134" s="21" t="n">
        <v>8038.5</v>
      </c>
      <c r="H134" s="21" t="n">
        <f aca="false">F134-G134</f>
        <v>5351.1</v>
      </c>
      <c r="I134" s="20" t="n">
        <v>5</v>
      </c>
      <c r="J134" s="21" t="n">
        <f aca="false">F134-I134*E134</f>
        <v>12791.85</v>
      </c>
    </row>
    <row r="135" customFormat="false" ht="15" hidden="false" customHeight="false" outlineLevel="0" collapsed="false">
      <c r="A135" s="0" t="s">
        <v>38</v>
      </c>
      <c r="B135" s="0" t="s">
        <v>31</v>
      </c>
      <c r="C135" s="0" t="s">
        <v>28</v>
      </c>
      <c r="D135" s="0" t="n">
        <v>321</v>
      </c>
      <c r="E135" s="22" t="n">
        <v>247.09</v>
      </c>
      <c r="F135" s="22" t="n">
        <f aca="false">D135*E135</f>
        <v>79315.89</v>
      </c>
      <c r="G135" s="22" t="n">
        <v>43533.56</v>
      </c>
      <c r="H135" s="22" t="n">
        <f aca="false">F135-G135</f>
        <v>35782.33</v>
      </c>
      <c r="I135" s="0" t="n">
        <v>14</v>
      </c>
      <c r="J135" s="22" t="n">
        <f aca="false">F135-I135*E135</f>
        <v>75856.63</v>
      </c>
    </row>
    <row r="136" customFormat="false" ht="15" hidden="false" customHeight="false" outlineLevel="0" collapsed="false">
      <c r="A136" s="20" t="s">
        <v>38</v>
      </c>
      <c r="B136" s="20" t="s">
        <v>31</v>
      </c>
      <c r="C136" s="20" t="s">
        <v>29</v>
      </c>
      <c r="D136" s="20" t="n">
        <v>363</v>
      </c>
      <c r="E136" s="21" t="n">
        <v>205.6</v>
      </c>
      <c r="F136" s="21" t="n">
        <f aca="false">D136*E136</f>
        <v>74632.8</v>
      </c>
      <c r="G136" s="21" t="n">
        <v>46496.61</v>
      </c>
      <c r="H136" s="21" t="n">
        <f aca="false">F136-G136</f>
        <v>28136.19</v>
      </c>
      <c r="I136" s="20" t="n">
        <v>13</v>
      </c>
      <c r="J136" s="21" t="n">
        <f aca="false">F136-I136*E136</f>
        <v>71960</v>
      </c>
    </row>
    <row r="137" customFormat="false" ht="15" hidden="false" customHeight="false" outlineLevel="0" collapsed="false">
      <c r="A137" s="0" t="s">
        <v>38</v>
      </c>
      <c r="B137" s="0" t="s">
        <v>32</v>
      </c>
      <c r="C137" s="0" t="s">
        <v>25</v>
      </c>
      <c r="D137" s="0" t="n">
        <v>475</v>
      </c>
      <c r="E137" s="22" t="n">
        <v>227.65</v>
      </c>
      <c r="F137" s="22" t="n">
        <f aca="false">D137*E137</f>
        <v>108133.75</v>
      </c>
      <c r="G137" s="22" t="n">
        <v>55308.08</v>
      </c>
      <c r="H137" s="22" t="n">
        <f aca="false">F137-G137</f>
        <v>52825.67</v>
      </c>
      <c r="I137" s="0" t="n">
        <v>5</v>
      </c>
      <c r="J137" s="22" t="n">
        <f aca="false">F137-I137*E137</f>
        <v>106995.5</v>
      </c>
    </row>
    <row r="138" customFormat="false" ht="15" hidden="false" customHeight="false" outlineLevel="0" collapsed="false">
      <c r="A138" s="20" t="s">
        <v>38</v>
      </c>
      <c r="B138" s="20" t="s">
        <v>32</v>
      </c>
      <c r="C138" s="20" t="s">
        <v>26</v>
      </c>
      <c r="D138" s="20" t="n">
        <v>430</v>
      </c>
      <c r="E138" s="21" t="n">
        <v>216.76</v>
      </c>
      <c r="F138" s="21" t="n">
        <f aca="false">D138*E138</f>
        <v>93206.8</v>
      </c>
      <c r="G138" s="21" t="n">
        <v>47770.11</v>
      </c>
      <c r="H138" s="21" t="n">
        <f aca="false">F138-G138</f>
        <v>45436.69</v>
      </c>
      <c r="I138" s="20" t="n">
        <v>7</v>
      </c>
      <c r="J138" s="21" t="n">
        <f aca="false">F138-I138*E138</f>
        <v>91689.48</v>
      </c>
    </row>
    <row r="139" customFormat="false" ht="15" hidden="false" customHeight="false" outlineLevel="0" collapsed="false">
      <c r="A139" s="0" t="s">
        <v>38</v>
      </c>
      <c r="B139" s="0" t="s">
        <v>32</v>
      </c>
      <c r="C139" s="0" t="s">
        <v>27</v>
      </c>
      <c r="D139" s="0" t="n">
        <v>480</v>
      </c>
      <c r="E139" s="22" t="n">
        <v>163.04</v>
      </c>
      <c r="F139" s="22" t="n">
        <f aca="false">D139*E139</f>
        <v>78259.2</v>
      </c>
      <c r="G139" s="22" t="n">
        <v>46286.67</v>
      </c>
      <c r="H139" s="22" t="n">
        <f aca="false">F139-G139</f>
        <v>31972.53</v>
      </c>
      <c r="I139" s="0" t="n">
        <v>16</v>
      </c>
      <c r="J139" s="22" t="n">
        <f aca="false">F139-I139*E139</f>
        <v>75650.56</v>
      </c>
    </row>
    <row r="140" customFormat="false" ht="15" hidden="false" customHeight="false" outlineLevel="0" collapsed="false">
      <c r="A140" s="20" t="s">
        <v>38</v>
      </c>
      <c r="B140" s="20" t="s">
        <v>32</v>
      </c>
      <c r="C140" s="20" t="s">
        <v>28</v>
      </c>
      <c r="D140" s="20" t="n">
        <v>298</v>
      </c>
      <c r="E140" s="21" t="n">
        <v>160.42</v>
      </c>
      <c r="F140" s="21" t="n">
        <f aca="false">D140*E140</f>
        <v>47805.16</v>
      </c>
      <c r="G140" s="21" t="n">
        <v>22403.86</v>
      </c>
      <c r="H140" s="21" t="n">
        <f aca="false">F140-G140</f>
        <v>25401.3</v>
      </c>
      <c r="I140" s="20" t="n">
        <v>1</v>
      </c>
      <c r="J140" s="21" t="n">
        <f aca="false">F140-I140*E140</f>
        <v>47644.74</v>
      </c>
    </row>
    <row r="141" customFormat="false" ht="15" hidden="false" customHeight="false" outlineLevel="0" collapsed="false">
      <c r="A141" s="0" t="s">
        <v>38</v>
      </c>
      <c r="B141" s="0" t="s">
        <v>32</v>
      </c>
      <c r="C141" s="0" t="s">
        <v>29</v>
      </c>
      <c r="D141" s="0" t="n">
        <v>415</v>
      </c>
      <c r="E141" s="22" t="n">
        <v>78.57</v>
      </c>
      <c r="F141" s="22" t="n">
        <f aca="false">D141*E141</f>
        <v>32606.55</v>
      </c>
      <c r="G141" s="22" t="n">
        <v>15257.54</v>
      </c>
      <c r="H141" s="22" t="n">
        <f aca="false">F141-G141</f>
        <v>17349.01</v>
      </c>
      <c r="I141" s="0" t="n">
        <v>10</v>
      </c>
      <c r="J141" s="22" t="n">
        <f aca="false">F141-I141*E141</f>
        <v>31820.85</v>
      </c>
    </row>
    <row r="142" customFormat="false" ht="15" hidden="false" customHeight="false" outlineLevel="0" collapsed="false">
      <c r="A142" s="20" t="s">
        <v>38</v>
      </c>
      <c r="B142" s="20" t="s">
        <v>33</v>
      </c>
      <c r="C142" s="20" t="s">
        <v>25</v>
      </c>
      <c r="D142" s="20" t="n">
        <v>326</v>
      </c>
      <c r="E142" s="21" t="n">
        <v>29.34</v>
      </c>
      <c r="F142" s="21" t="n">
        <f aca="false">D142*E142</f>
        <v>9564.84</v>
      </c>
      <c r="G142" s="21" t="n">
        <v>4186.6</v>
      </c>
      <c r="H142" s="21" t="n">
        <f aca="false">F142-G142</f>
        <v>5378.24</v>
      </c>
      <c r="I142" s="20" t="n">
        <v>12</v>
      </c>
      <c r="J142" s="21" t="n">
        <f aca="false">F142-I142*E142</f>
        <v>9212.76</v>
      </c>
    </row>
    <row r="143" customFormat="false" ht="15" hidden="false" customHeight="false" outlineLevel="0" collapsed="false">
      <c r="A143" s="0" t="s">
        <v>38</v>
      </c>
      <c r="B143" s="0" t="s">
        <v>33</v>
      </c>
      <c r="C143" s="0" t="s">
        <v>26</v>
      </c>
      <c r="D143" s="0" t="n">
        <v>405</v>
      </c>
      <c r="E143" s="22" t="n">
        <v>46.67</v>
      </c>
      <c r="F143" s="22" t="n">
        <f aca="false">D143*E143</f>
        <v>18901.35</v>
      </c>
      <c r="G143" s="22" t="n">
        <v>8571.54</v>
      </c>
      <c r="H143" s="22" t="n">
        <f aca="false">F143-G143</f>
        <v>10329.81</v>
      </c>
      <c r="I143" s="0" t="n">
        <v>13</v>
      </c>
      <c r="J143" s="22" t="n">
        <f aca="false">F143-I143*E143</f>
        <v>18294.64</v>
      </c>
    </row>
    <row r="144" customFormat="false" ht="15" hidden="false" customHeight="false" outlineLevel="0" collapsed="false">
      <c r="A144" s="20" t="s">
        <v>38</v>
      </c>
      <c r="B144" s="20" t="s">
        <v>33</v>
      </c>
      <c r="C144" s="20" t="s">
        <v>27</v>
      </c>
      <c r="D144" s="20" t="n">
        <v>258</v>
      </c>
      <c r="E144" s="21" t="n">
        <v>89.41</v>
      </c>
      <c r="F144" s="21" t="n">
        <f aca="false">D144*E144</f>
        <v>23067.78</v>
      </c>
      <c r="G144" s="21" t="n">
        <v>11914.07</v>
      </c>
      <c r="H144" s="21" t="n">
        <f aca="false">F144-G144</f>
        <v>11153.71</v>
      </c>
      <c r="I144" s="20" t="n">
        <v>0</v>
      </c>
      <c r="J144" s="21" t="n">
        <f aca="false">F144-I144*E144</f>
        <v>23067.78</v>
      </c>
    </row>
    <row r="145" customFormat="false" ht="15" hidden="false" customHeight="false" outlineLevel="0" collapsed="false">
      <c r="A145" s="0" t="s">
        <v>38</v>
      </c>
      <c r="B145" s="0" t="s">
        <v>33</v>
      </c>
      <c r="C145" s="0" t="s">
        <v>28</v>
      </c>
      <c r="D145" s="0" t="n">
        <v>155</v>
      </c>
      <c r="E145" s="22" t="n">
        <v>209.89</v>
      </c>
      <c r="F145" s="22" t="n">
        <f aca="false">D145*E145</f>
        <v>32532.95</v>
      </c>
      <c r="G145" s="22" t="n">
        <v>16180.89</v>
      </c>
      <c r="H145" s="22" t="n">
        <f aca="false">F145-G145</f>
        <v>16352.06</v>
      </c>
      <c r="I145" s="0" t="n">
        <v>0</v>
      </c>
      <c r="J145" s="22" t="n">
        <f aca="false">F145-I145*E145</f>
        <v>32532.95</v>
      </c>
    </row>
    <row r="146" customFormat="false" ht="15" hidden="false" customHeight="false" outlineLevel="0" collapsed="false">
      <c r="A146" s="20" t="s">
        <v>38</v>
      </c>
      <c r="B146" s="20" t="s">
        <v>33</v>
      </c>
      <c r="C146" s="20" t="s">
        <v>29</v>
      </c>
      <c r="D146" s="20" t="n">
        <v>488</v>
      </c>
      <c r="E146" s="21" t="n">
        <v>221.36</v>
      </c>
      <c r="F146" s="21" t="n">
        <f aca="false">D146*E146</f>
        <v>108023.68</v>
      </c>
      <c r="G146" s="21" t="n">
        <v>58756.52</v>
      </c>
      <c r="H146" s="21" t="n">
        <f aca="false">F146-G146</f>
        <v>49267.16</v>
      </c>
      <c r="I146" s="20" t="n">
        <v>15</v>
      </c>
      <c r="J146" s="21" t="n">
        <f aca="false">F146-I146*E146</f>
        <v>104703.28</v>
      </c>
    </row>
    <row r="147" customFormat="false" ht="15" hidden="false" customHeight="false" outlineLevel="0" collapsed="false">
      <c r="A147" s="0" t="s">
        <v>38</v>
      </c>
      <c r="B147" s="0" t="s">
        <v>34</v>
      </c>
      <c r="C147" s="0" t="s">
        <v>25</v>
      </c>
      <c r="D147" s="0" t="n">
        <v>53</v>
      </c>
      <c r="E147" s="22" t="n">
        <v>236.26</v>
      </c>
      <c r="F147" s="22" t="n">
        <f aca="false">D147*E147</f>
        <v>12521.78</v>
      </c>
      <c r="G147" s="22" t="n">
        <v>5943.5</v>
      </c>
      <c r="H147" s="22" t="n">
        <f aca="false">F147-G147</f>
        <v>6578.28</v>
      </c>
      <c r="I147" s="0" t="n">
        <v>1</v>
      </c>
      <c r="J147" s="22" t="n">
        <f aca="false">F147-I147*E147</f>
        <v>12285.52</v>
      </c>
    </row>
    <row r="148" customFormat="false" ht="15" hidden="false" customHeight="false" outlineLevel="0" collapsed="false">
      <c r="A148" s="20" t="s">
        <v>38</v>
      </c>
      <c r="B148" s="20" t="s">
        <v>34</v>
      </c>
      <c r="C148" s="20" t="s">
        <v>26</v>
      </c>
      <c r="D148" s="20" t="n">
        <v>486</v>
      </c>
      <c r="E148" s="21" t="n">
        <v>223.99</v>
      </c>
      <c r="F148" s="21" t="n">
        <f aca="false">D148*E148</f>
        <v>108859.14</v>
      </c>
      <c r="G148" s="21" t="n">
        <v>66287.83</v>
      </c>
      <c r="H148" s="21" t="n">
        <f aca="false">F148-G148</f>
        <v>42571.31</v>
      </c>
      <c r="I148" s="20" t="n">
        <v>17</v>
      </c>
      <c r="J148" s="21" t="n">
        <f aca="false">F148-I148*E148</f>
        <v>105051.31</v>
      </c>
    </row>
    <row r="149" customFormat="false" ht="15" hidden="false" customHeight="false" outlineLevel="0" collapsed="false">
      <c r="A149" s="0" t="s">
        <v>38</v>
      </c>
      <c r="B149" s="0" t="s">
        <v>34</v>
      </c>
      <c r="C149" s="0" t="s">
        <v>27</v>
      </c>
      <c r="D149" s="0" t="n">
        <v>432</v>
      </c>
      <c r="E149" s="22" t="n">
        <v>186.31</v>
      </c>
      <c r="F149" s="22" t="n">
        <f aca="false">D149*E149</f>
        <v>80485.92</v>
      </c>
      <c r="G149" s="22" t="n">
        <v>48288.9</v>
      </c>
      <c r="H149" s="22" t="n">
        <f aca="false">F149-G149</f>
        <v>32197.02</v>
      </c>
      <c r="I149" s="0" t="n">
        <v>7</v>
      </c>
      <c r="J149" s="22" t="n">
        <f aca="false">F149-I149*E149</f>
        <v>79181.75</v>
      </c>
    </row>
    <row r="150" customFormat="false" ht="15" hidden="false" customHeight="false" outlineLevel="0" collapsed="false">
      <c r="A150" s="20" t="s">
        <v>38</v>
      </c>
      <c r="B150" s="20" t="s">
        <v>34</v>
      </c>
      <c r="C150" s="20" t="s">
        <v>28</v>
      </c>
      <c r="D150" s="20" t="n">
        <v>299</v>
      </c>
      <c r="E150" s="21" t="n">
        <v>62.66</v>
      </c>
      <c r="F150" s="21" t="n">
        <f aca="false">D150*E150</f>
        <v>18735.34</v>
      </c>
      <c r="G150" s="21" t="n">
        <v>9535.52</v>
      </c>
      <c r="H150" s="21" t="n">
        <f aca="false">F150-G150</f>
        <v>9199.82</v>
      </c>
      <c r="I150" s="20" t="n">
        <v>0</v>
      </c>
      <c r="J150" s="21" t="n">
        <f aca="false">F150-I150*E150</f>
        <v>18735.34</v>
      </c>
    </row>
    <row r="151" customFormat="false" ht="15" hidden="false" customHeight="false" outlineLevel="0" collapsed="false">
      <c r="A151" s="0" t="s">
        <v>38</v>
      </c>
      <c r="B151" s="0" t="s">
        <v>34</v>
      </c>
      <c r="C151" s="0" t="s">
        <v>29</v>
      </c>
      <c r="D151" s="0" t="n">
        <v>249</v>
      </c>
      <c r="E151" s="22" t="n">
        <v>90.67</v>
      </c>
      <c r="F151" s="22" t="n">
        <f aca="false">D151*E151</f>
        <v>22576.83</v>
      </c>
      <c r="G151" s="22" t="n">
        <v>12863.95</v>
      </c>
      <c r="H151" s="22" t="n">
        <f aca="false">F151-G151</f>
        <v>9712.88</v>
      </c>
      <c r="I151" s="0" t="n">
        <v>6</v>
      </c>
      <c r="J151" s="22" t="n">
        <f aca="false">F151-I151*E151</f>
        <v>22032.81</v>
      </c>
    </row>
    <row r="152" customFormat="false" ht="15" hidden="false" customHeight="false" outlineLevel="0" collapsed="false">
      <c r="A152" s="20" t="s">
        <v>39</v>
      </c>
      <c r="B152" s="20" t="s">
        <v>24</v>
      </c>
      <c r="C152" s="20" t="s">
        <v>25</v>
      </c>
      <c r="D152" s="20" t="n">
        <v>420</v>
      </c>
      <c r="E152" s="21" t="n">
        <v>49.61</v>
      </c>
      <c r="F152" s="21" t="n">
        <f aca="false">D152*E152</f>
        <v>20836.2</v>
      </c>
      <c r="G152" s="21" t="n">
        <v>10769.14</v>
      </c>
      <c r="H152" s="21" t="n">
        <f aca="false">F152-G152</f>
        <v>10067.06</v>
      </c>
      <c r="I152" s="20" t="n">
        <v>4</v>
      </c>
      <c r="J152" s="21" t="n">
        <f aca="false">F152-I152*E152</f>
        <v>20637.76</v>
      </c>
    </row>
    <row r="153" customFormat="false" ht="15" hidden="false" customHeight="false" outlineLevel="0" collapsed="false">
      <c r="A153" s="0" t="s">
        <v>39</v>
      </c>
      <c r="B153" s="0" t="s">
        <v>24</v>
      </c>
      <c r="C153" s="0" t="s">
        <v>26</v>
      </c>
      <c r="D153" s="0" t="n">
        <v>368</v>
      </c>
      <c r="E153" s="22" t="n">
        <v>138.19</v>
      </c>
      <c r="F153" s="22" t="n">
        <f aca="false">D153*E153</f>
        <v>50853.92</v>
      </c>
      <c r="G153" s="22" t="n">
        <v>31871.79</v>
      </c>
      <c r="H153" s="22" t="n">
        <f aca="false">F153-G153</f>
        <v>18982.13</v>
      </c>
      <c r="I153" s="0" t="n">
        <v>18</v>
      </c>
      <c r="J153" s="22" t="n">
        <f aca="false">F153-I153*E153</f>
        <v>48366.5</v>
      </c>
    </row>
    <row r="154" customFormat="false" ht="15" hidden="false" customHeight="false" outlineLevel="0" collapsed="false">
      <c r="A154" s="20" t="s">
        <v>39</v>
      </c>
      <c r="B154" s="20" t="s">
        <v>24</v>
      </c>
      <c r="C154" s="20" t="s">
        <v>27</v>
      </c>
      <c r="D154" s="20" t="n">
        <v>338</v>
      </c>
      <c r="E154" s="21" t="n">
        <v>169.12</v>
      </c>
      <c r="F154" s="21" t="n">
        <f aca="false">D154*E154</f>
        <v>57162.56</v>
      </c>
      <c r="G154" s="21" t="n">
        <v>24064.69</v>
      </c>
      <c r="H154" s="21" t="n">
        <f aca="false">F154-G154</f>
        <v>33097.87</v>
      </c>
      <c r="I154" s="20" t="n">
        <v>13</v>
      </c>
      <c r="J154" s="21" t="n">
        <f aca="false">F154-I154*E154</f>
        <v>54964</v>
      </c>
    </row>
    <row r="155" customFormat="false" ht="15" hidden="false" customHeight="false" outlineLevel="0" collapsed="false">
      <c r="A155" s="0" t="s">
        <v>39</v>
      </c>
      <c r="B155" s="0" t="s">
        <v>24</v>
      </c>
      <c r="C155" s="0" t="s">
        <v>28</v>
      </c>
      <c r="D155" s="0" t="n">
        <v>119</v>
      </c>
      <c r="E155" s="22" t="n">
        <v>218.04</v>
      </c>
      <c r="F155" s="22" t="n">
        <f aca="false">D155*E155</f>
        <v>25946.76</v>
      </c>
      <c r="G155" s="22" t="n">
        <v>11557.52</v>
      </c>
      <c r="H155" s="22" t="n">
        <f aca="false">F155-G155</f>
        <v>14389.24</v>
      </c>
      <c r="I155" s="0" t="n">
        <v>2</v>
      </c>
      <c r="J155" s="22" t="n">
        <f aca="false">F155-I155*E155</f>
        <v>25510.68</v>
      </c>
    </row>
    <row r="156" customFormat="false" ht="15" hidden="false" customHeight="false" outlineLevel="0" collapsed="false">
      <c r="A156" s="20" t="s">
        <v>39</v>
      </c>
      <c r="B156" s="20" t="s">
        <v>24</v>
      </c>
      <c r="C156" s="20" t="s">
        <v>29</v>
      </c>
      <c r="D156" s="20" t="n">
        <v>244</v>
      </c>
      <c r="E156" s="21" t="n">
        <v>88.56</v>
      </c>
      <c r="F156" s="21" t="n">
        <f aca="false">D156*E156</f>
        <v>21608.64</v>
      </c>
      <c r="G156" s="21" t="n">
        <v>11099.81</v>
      </c>
      <c r="H156" s="21" t="n">
        <f aca="false">F156-G156</f>
        <v>10508.83</v>
      </c>
      <c r="I156" s="20" t="n">
        <v>5</v>
      </c>
      <c r="J156" s="21" t="n">
        <f aca="false">F156-I156*E156</f>
        <v>21165.84</v>
      </c>
    </row>
    <row r="157" customFormat="false" ht="15" hidden="false" customHeight="false" outlineLevel="0" collapsed="false">
      <c r="A157" s="0" t="s">
        <v>39</v>
      </c>
      <c r="B157" s="0" t="s">
        <v>30</v>
      </c>
      <c r="C157" s="0" t="s">
        <v>25</v>
      </c>
      <c r="D157" s="0" t="n">
        <v>439</v>
      </c>
      <c r="E157" s="22" t="n">
        <v>221.11</v>
      </c>
      <c r="F157" s="22" t="n">
        <f aca="false">D157*E157</f>
        <v>97067.29</v>
      </c>
      <c r="G157" s="22" t="n">
        <v>45579.32</v>
      </c>
      <c r="H157" s="22" t="n">
        <f aca="false">F157-G157</f>
        <v>51487.97</v>
      </c>
      <c r="I157" s="0" t="n">
        <v>13</v>
      </c>
      <c r="J157" s="22" t="n">
        <f aca="false">F157-I157*E157</f>
        <v>94192.86</v>
      </c>
    </row>
    <row r="158" customFormat="false" ht="15" hidden="false" customHeight="false" outlineLevel="0" collapsed="false">
      <c r="A158" s="20" t="s">
        <v>39</v>
      </c>
      <c r="B158" s="20" t="s">
        <v>30</v>
      </c>
      <c r="C158" s="20" t="s">
        <v>26</v>
      </c>
      <c r="D158" s="20" t="n">
        <v>179</v>
      </c>
      <c r="E158" s="21" t="n">
        <v>210.38</v>
      </c>
      <c r="F158" s="21" t="n">
        <f aca="false">D158*E158</f>
        <v>37658.02</v>
      </c>
      <c r="G158" s="21" t="n">
        <v>19490.91</v>
      </c>
      <c r="H158" s="21" t="n">
        <f aca="false">F158-G158</f>
        <v>18167.11</v>
      </c>
      <c r="I158" s="20" t="n">
        <v>8</v>
      </c>
      <c r="J158" s="21" t="n">
        <f aca="false">F158-I158*E158</f>
        <v>35974.98</v>
      </c>
    </row>
    <row r="159" customFormat="false" ht="15" hidden="false" customHeight="false" outlineLevel="0" collapsed="false">
      <c r="A159" s="0" t="s">
        <v>39</v>
      </c>
      <c r="B159" s="0" t="s">
        <v>30</v>
      </c>
      <c r="C159" s="0" t="s">
        <v>27</v>
      </c>
      <c r="D159" s="0" t="n">
        <v>76</v>
      </c>
      <c r="E159" s="22" t="n">
        <v>249.98</v>
      </c>
      <c r="F159" s="22" t="n">
        <f aca="false">D159*E159</f>
        <v>18998.48</v>
      </c>
      <c r="G159" s="22" t="n">
        <v>9261.57</v>
      </c>
      <c r="H159" s="22" t="n">
        <f aca="false">F159-G159</f>
        <v>9736.91</v>
      </c>
      <c r="I159" s="0" t="n">
        <v>0</v>
      </c>
      <c r="J159" s="22" t="n">
        <f aca="false">F159-I159*E159</f>
        <v>18998.48</v>
      </c>
    </row>
    <row r="160" customFormat="false" ht="15" hidden="false" customHeight="false" outlineLevel="0" collapsed="false">
      <c r="A160" s="20" t="s">
        <v>39</v>
      </c>
      <c r="B160" s="20" t="s">
        <v>30</v>
      </c>
      <c r="C160" s="20" t="s">
        <v>28</v>
      </c>
      <c r="D160" s="20" t="n">
        <v>449</v>
      </c>
      <c r="E160" s="21" t="n">
        <v>239.75</v>
      </c>
      <c r="F160" s="21" t="n">
        <f aca="false">D160*E160</f>
        <v>107647.75</v>
      </c>
      <c r="G160" s="21" t="n">
        <v>44142.52</v>
      </c>
      <c r="H160" s="21" t="n">
        <f aca="false">F160-G160</f>
        <v>63505.23</v>
      </c>
      <c r="I160" s="20" t="n">
        <v>0</v>
      </c>
      <c r="J160" s="21" t="n">
        <f aca="false">F160-I160*E160</f>
        <v>107647.75</v>
      </c>
    </row>
    <row r="161" customFormat="false" ht="15" hidden="false" customHeight="false" outlineLevel="0" collapsed="false">
      <c r="A161" s="0" t="s">
        <v>39</v>
      </c>
      <c r="B161" s="0" t="s">
        <v>30</v>
      </c>
      <c r="C161" s="0" t="s">
        <v>29</v>
      </c>
      <c r="D161" s="0" t="n">
        <v>176</v>
      </c>
      <c r="E161" s="22" t="n">
        <v>57.85</v>
      </c>
      <c r="F161" s="22" t="n">
        <f aca="false">D161*E161</f>
        <v>10181.6</v>
      </c>
      <c r="G161" s="22" t="n">
        <v>4124.52</v>
      </c>
      <c r="H161" s="22" t="n">
        <f aca="false">F161-G161</f>
        <v>6057.08</v>
      </c>
      <c r="I161" s="0" t="n">
        <v>2</v>
      </c>
      <c r="J161" s="22" t="n">
        <f aca="false">F161-I161*E161</f>
        <v>10065.9</v>
      </c>
    </row>
    <row r="162" customFormat="false" ht="15" hidden="false" customHeight="false" outlineLevel="0" collapsed="false">
      <c r="A162" s="20" t="s">
        <v>39</v>
      </c>
      <c r="B162" s="20" t="s">
        <v>31</v>
      </c>
      <c r="C162" s="20" t="s">
        <v>25</v>
      </c>
      <c r="D162" s="20" t="n">
        <v>172</v>
      </c>
      <c r="E162" s="21" t="n">
        <v>40.29</v>
      </c>
      <c r="F162" s="21" t="n">
        <f aca="false">D162*E162</f>
        <v>6929.88</v>
      </c>
      <c r="G162" s="21" t="n">
        <v>3931.77</v>
      </c>
      <c r="H162" s="21" t="n">
        <f aca="false">F162-G162</f>
        <v>2998.11</v>
      </c>
      <c r="I162" s="20" t="n">
        <v>3</v>
      </c>
      <c r="J162" s="21" t="n">
        <f aca="false">F162-I162*E162</f>
        <v>6809.01</v>
      </c>
    </row>
    <row r="163" customFormat="false" ht="15" hidden="false" customHeight="false" outlineLevel="0" collapsed="false">
      <c r="A163" s="0" t="s">
        <v>39</v>
      </c>
      <c r="B163" s="0" t="s">
        <v>31</v>
      </c>
      <c r="C163" s="0" t="s">
        <v>26</v>
      </c>
      <c r="D163" s="0" t="n">
        <v>288</v>
      </c>
      <c r="E163" s="22" t="n">
        <v>177.87</v>
      </c>
      <c r="F163" s="22" t="n">
        <f aca="false">D163*E163</f>
        <v>51226.56</v>
      </c>
      <c r="G163" s="22" t="n">
        <v>30312.01</v>
      </c>
      <c r="H163" s="22" t="n">
        <f aca="false">F163-G163</f>
        <v>20914.55</v>
      </c>
      <c r="I163" s="0" t="n">
        <v>2</v>
      </c>
      <c r="J163" s="22" t="n">
        <f aca="false">F163-I163*E163</f>
        <v>50870.82</v>
      </c>
    </row>
    <row r="164" customFormat="false" ht="15" hidden="false" customHeight="false" outlineLevel="0" collapsed="false">
      <c r="A164" s="20" t="s">
        <v>39</v>
      </c>
      <c r="B164" s="20" t="s">
        <v>31</v>
      </c>
      <c r="C164" s="20" t="s">
        <v>27</v>
      </c>
      <c r="D164" s="20" t="n">
        <v>360</v>
      </c>
      <c r="E164" s="21" t="n">
        <v>155.74</v>
      </c>
      <c r="F164" s="21" t="n">
        <f aca="false">D164*E164</f>
        <v>56066.4</v>
      </c>
      <c r="G164" s="21" t="n">
        <v>32909.93</v>
      </c>
      <c r="H164" s="21" t="n">
        <f aca="false">F164-G164</f>
        <v>23156.47</v>
      </c>
      <c r="I164" s="20" t="n">
        <v>3</v>
      </c>
      <c r="J164" s="21" t="n">
        <f aca="false">F164-I164*E164</f>
        <v>55599.18</v>
      </c>
    </row>
    <row r="165" customFormat="false" ht="15" hidden="false" customHeight="false" outlineLevel="0" collapsed="false">
      <c r="A165" s="0" t="s">
        <v>39</v>
      </c>
      <c r="B165" s="0" t="s">
        <v>31</v>
      </c>
      <c r="C165" s="0" t="s">
        <v>28</v>
      </c>
      <c r="D165" s="0" t="n">
        <v>448</v>
      </c>
      <c r="E165" s="22" t="n">
        <v>206.63</v>
      </c>
      <c r="F165" s="22" t="n">
        <f aca="false">D165*E165</f>
        <v>92570.24</v>
      </c>
      <c r="G165" s="22" t="n">
        <v>59354.2</v>
      </c>
      <c r="H165" s="22" t="n">
        <f aca="false">F165-G165</f>
        <v>33216.04</v>
      </c>
      <c r="I165" s="0" t="n">
        <v>3</v>
      </c>
      <c r="J165" s="22" t="n">
        <f aca="false">F165-I165*E165</f>
        <v>91950.35</v>
      </c>
    </row>
    <row r="166" customFormat="false" ht="15" hidden="false" customHeight="false" outlineLevel="0" collapsed="false">
      <c r="A166" s="20" t="s">
        <v>39</v>
      </c>
      <c r="B166" s="20" t="s">
        <v>31</v>
      </c>
      <c r="C166" s="20" t="s">
        <v>29</v>
      </c>
      <c r="D166" s="20" t="n">
        <v>346</v>
      </c>
      <c r="E166" s="21" t="n">
        <v>16.16</v>
      </c>
      <c r="F166" s="21" t="n">
        <f aca="false">D166*E166</f>
        <v>5591.36</v>
      </c>
      <c r="G166" s="21" t="n">
        <v>2672.61</v>
      </c>
      <c r="H166" s="21" t="n">
        <f aca="false">F166-G166</f>
        <v>2918.75</v>
      </c>
      <c r="I166" s="20" t="n">
        <v>12</v>
      </c>
      <c r="J166" s="21" t="n">
        <f aca="false">F166-I166*E166</f>
        <v>5397.44</v>
      </c>
    </row>
    <row r="167" customFormat="false" ht="15" hidden="false" customHeight="false" outlineLevel="0" collapsed="false">
      <c r="A167" s="0" t="s">
        <v>39</v>
      </c>
      <c r="B167" s="0" t="s">
        <v>32</v>
      </c>
      <c r="C167" s="0" t="s">
        <v>25</v>
      </c>
      <c r="D167" s="0" t="n">
        <v>253</v>
      </c>
      <c r="E167" s="22" t="n">
        <v>235.95</v>
      </c>
      <c r="F167" s="22" t="n">
        <f aca="false">D167*E167</f>
        <v>59695.35</v>
      </c>
      <c r="G167" s="22" t="n">
        <v>26837.98</v>
      </c>
      <c r="H167" s="22" t="n">
        <f aca="false">F167-G167</f>
        <v>32857.37</v>
      </c>
      <c r="I167" s="0" t="n">
        <v>9</v>
      </c>
      <c r="J167" s="22" t="n">
        <f aca="false">F167-I167*E167</f>
        <v>57571.8</v>
      </c>
    </row>
    <row r="168" customFormat="false" ht="15" hidden="false" customHeight="false" outlineLevel="0" collapsed="false">
      <c r="A168" s="20" t="s">
        <v>39</v>
      </c>
      <c r="B168" s="20" t="s">
        <v>32</v>
      </c>
      <c r="C168" s="20" t="s">
        <v>26</v>
      </c>
      <c r="D168" s="20" t="n">
        <v>403</v>
      </c>
      <c r="E168" s="21" t="n">
        <v>209.34</v>
      </c>
      <c r="F168" s="21" t="n">
        <f aca="false">D168*E168</f>
        <v>84364.02</v>
      </c>
      <c r="G168" s="21" t="n">
        <v>38867.55</v>
      </c>
      <c r="H168" s="21" t="n">
        <f aca="false">F168-G168</f>
        <v>45496.47</v>
      </c>
      <c r="I168" s="20" t="n">
        <v>9</v>
      </c>
      <c r="J168" s="21" t="n">
        <f aca="false">F168-I168*E168</f>
        <v>82479.96</v>
      </c>
    </row>
    <row r="169" customFormat="false" ht="15" hidden="false" customHeight="false" outlineLevel="0" collapsed="false">
      <c r="A169" s="0" t="s">
        <v>39</v>
      </c>
      <c r="B169" s="0" t="s">
        <v>32</v>
      </c>
      <c r="C169" s="0" t="s">
        <v>27</v>
      </c>
      <c r="D169" s="0" t="n">
        <v>485</v>
      </c>
      <c r="E169" s="22" t="n">
        <v>174.22</v>
      </c>
      <c r="F169" s="22" t="n">
        <f aca="false">D169*E169</f>
        <v>84496.7</v>
      </c>
      <c r="G169" s="22" t="n">
        <v>50814.79</v>
      </c>
      <c r="H169" s="22" t="n">
        <f aca="false">F169-G169</f>
        <v>33681.91</v>
      </c>
      <c r="I169" s="0" t="n">
        <v>18</v>
      </c>
      <c r="J169" s="22" t="n">
        <f aca="false">F169-I169*E169</f>
        <v>81360.74</v>
      </c>
    </row>
    <row r="170" customFormat="false" ht="15" hidden="false" customHeight="false" outlineLevel="0" collapsed="false">
      <c r="A170" s="20" t="s">
        <v>39</v>
      </c>
      <c r="B170" s="20" t="s">
        <v>32</v>
      </c>
      <c r="C170" s="20" t="s">
        <v>28</v>
      </c>
      <c r="D170" s="20" t="n">
        <v>450</v>
      </c>
      <c r="E170" s="21" t="n">
        <v>19.86</v>
      </c>
      <c r="F170" s="21" t="n">
        <f aca="false">D170*E170</f>
        <v>8937</v>
      </c>
      <c r="G170" s="21" t="n">
        <v>4765.09</v>
      </c>
      <c r="H170" s="21" t="n">
        <f aca="false">F170-G170</f>
        <v>4171.91</v>
      </c>
      <c r="I170" s="20" t="n">
        <v>21</v>
      </c>
      <c r="J170" s="21" t="n">
        <f aca="false">F170-I170*E170</f>
        <v>8519.94</v>
      </c>
    </row>
    <row r="171" customFormat="false" ht="15" hidden="false" customHeight="false" outlineLevel="0" collapsed="false">
      <c r="A171" s="0" t="s">
        <v>39</v>
      </c>
      <c r="B171" s="0" t="s">
        <v>32</v>
      </c>
      <c r="C171" s="0" t="s">
        <v>29</v>
      </c>
      <c r="D171" s="0" t="n">
        <v>239</v>
      </c>
      <c r="E171" s="22" t="n">
        <v>26.55</v>
      </c>
      <c r="F171" s="22" t="n">
        <f aca="false">D171*E171</f>
        <v>6345.45</v>
      </c>
      <c r="G171" s="22" t="n">
        <v>3565.42</v>
      </c>
      <c r="H171" s="22" t="n">
        <f aca="false">F171-G171</f>
        <v>2780.03</v>
      </c>
      <c r="I171" s="0" t="n">
        <v>0</v>
      </c>
      <c r="J171" s="22" t="n">
        <f aca="false">F171-I171*E171</f>
        <v>6345.45</v>
      </c>
    </row>
    <row r="172" customFormat="false" ht="15" hidden="false" customHeight="false" outlineLevel="0" collapsed="false">
      <c r="A172" s="20" t="s">
        <v>39</v>
      </c>
      <c r="B172" s="20" t="s">
        <v>33</v>
      </c>
      <c r="C172" s="20" t="s">
        <v>25</v>
      </c>
      <c r="D172" s="20" t="n">
        <v>484</v>
      </c>
      <c r="E172" s="21" t="n">
        <v>110.81</v>
      </c>
      <c r="F172" s="21" t="n">
        <f aca="false">D172*E172</f>
        <v>53632.04</v>
      </c>
      <c r="G172" s="21" t="n">
        <v>28025.45</v>
      </c>
      <c r="H172" s="21" t="n">
        <f aca="false">F172-G172</f>
        <v>25606.59</v>
      </c>
      <c r="I172" s="20" t="n">
        <v>13</v>
      </c>
      <c r="J172" s="21" t="n">
        <f aca="false">F172-I172*E172</f>
        <v>52191.51</v>
      </c>
    </row>
    <row r="173" customFormat="false" ht="15" hidden="false" customHeight="false" outlineLevel="0" collapsed="false">
      <c r="A173" s="0" t="s">
        <v>39</v>
      </c>
      <c r="B173" s="0" t="s">
        <v>33</v>
      </c>
      <c r="C173" s="0" t="s">
        <v>26</v>
      </c>
      <c r="D173" s="0" t="n">
        <v>235</v>
      </c>
      <c r="E173" s="22" t="n">
        <v>162.54</v>
      </c>
      <c r="F173" s="22" t="n">
        <f aca="false">D173*E173</f>
        <v>38196.9</v>
      </c>
      <c r="G173" s="22" t="n">
        <v>23192.27</v>
      </c>
      <c r="H173" s="22" t="n">
        <f aca="false">F173-G173</f>
        <v>15004.63</v>
      </c>
      <c r="I173" s="0" t="n">
        <v>11</v>
      </c>
      <c r="J173" s="22" t="n">
        <f aca="false">F173-I173*E173</f>
        <v>36408.96</v>
      </c>
    </row>
    <row r="174" customFormat="false" ht="15" hidden="false" customHeight="false" outlineLevel="0" collapsed="false">
      <c r="A174" s="20" t="s">
        <v>39</v>
      </c>
      <c r="B174" s="20" t="s">
        <v>33</v>
      </c>
      <c r="C174" s="20" t="s">
        <v>27</v>
      </c>
      <c r="D174" s="20" t="n">
        <v>128</v>
      </c>
      <c r="E174" s="21" t="n">
        <v>114.52</v>
      </c>
      <c r="F174" s="21" t="n">
        <f aca="false">D174*E174</f>
        <v>14658.56</v>
      </c>
      <c r="G174" s="21" t="n">
        <v>8552.52</v>
      </c>
      <c r="H174" s="21" t="n">
        <f aca="false">F174-G174</f>
        <v>6106.04</v>
      </c>
      <c r="I174" s="20" t="n">
        <v>5</v>
      </c>
      <c r="J174" s="21" t="n">
        <f aca="false">F174-I174*E174</f>
        <v>14085.96</v>
      </c>
    </row>
    <row r="175" customFormat="false" ht="15" hidden="false" customHeight="false" outlineLevel="0" collapsed="false">
      <c r="A175" s="0" t="s">
        <v>39</v>
      </c>
      <c r="B175" s="0" t="s">
        <v>33</v>
      </c>
      <c r="C175" s="0" t="s">
        <v>28</v>
      </c>
      <c r="D175" s="0" t="n">
        <v>188</v>
      </c>
      <c r="E175" s="22" t="n">
        <v>157.82</v>
      </c>
      <c r="F175" s="22" t="n">
        <f aca="false">D175*E175</f>
        <v>29670.16</v>
      </c>
      <c r="G175" s="22" t="n">
        <v>18689.36</v>
      </c>
      <c r="H175" s="22" t="n">
        <f aca="false">F175-G175</f>
        <v>10980.8</v>
      </c>
      <c r="I175" s="0" t="n">
        <v>7</v>
      </c>
      <c r="J175" s="22" t="n">
        <f aca="false">F175-I175*E175</f>
        <v>28565.42</v>
      </c>
    </row>
    <row r="176" customFormat="false" ht="15" hidden="false" customHeight="false" outlineLevel="0" collapsed="false">
      <c r="A176" s="20" t="s">
        <v>39</v>
      </c>
      <c r="B176" s="20" t="s">
        <v>33</v>
      </c>
      <c r="C176" s="20" t="s">
        <v>29</v>
      </c>
      <c r="D176" s="20" t="n">
        <v>288</v>
      </c>
      <c r="E176" s="21" t="n">
        <v>114.54</v>
      </c>
      <c r="F176" s="21" t="n">
        <f aca="false">D176*E176</f>
        <v>32987.52</v>
      </c>
      <c r="G176" s="21" t="n">
        <v>19223.69</v>
      </c>
      <c r="H176" s="21" t="n">
        <f aca="false">F176-G176</f>
        <v>13763.83</v>
      </c>
      <c r="I176" s="20" t="n">
        <v>4</v>
      </c>
      <c r="J176" s="21" t="n">
        <f aca="false">F176-I176*E176</f>
        <v>32529.36</v>
      </c>
    </row>
    <row r="177" customFormat="false" ht="15" hidden="false" customHeight="false" outlineLevel="0" collapsed="false">
      <c r="A177" s="0" t="s">
        <v>39</v>
      </c>
      <c r="B177" s="0" t="s">
        <v>34</v>
      </c>
      <c r="C177" s="0" t="s">
        <v>25</v>
      </c>
      <c r="D177" s="0" t="n">
        <v>215</v>
      </c>
      <c r="E177" s="22" t="n">
        <v>214.41</v>
      </c>
      <c r="F177" s="22" t="n">
        <f aca="false">D177*E177</f>
        <v>46098.15</v>
      </c>
      <c r="G177" s="22" t="n">
        <v>28013.05</v>
      </c>
      <c r="H177" s="22" t="n">
        <f aca="false">F177-G177</f>
        <v>18085.1</v>
      </c>
      <c r="I177" s="0" t="n">
        <v>1</v>
      </c>
      <c r="J177" s="22" t="n">
        <f aca="false">F177-I177*E177</f>
        <v>45883.74</v>
      </c>
    </row>
    <row r="178" customFormat="false" ht="15" hidden="false" customHeight="false" outlineLevel="0" collapsed="false">
      <c r="A178" s="20" t="s">
        <v>39</v>
      </c>
      <c r="B178" s="20" t="s">
        <v>34</v>
      </c>
      <c r="C178" s="20" t="s">
        <v>26</v>
      </c>
      <c r="D178" s="20" t="n">
        <v>192</v>
      </c>
      <c r="E178" s="21" t="n">
        <v>221.59</v>
      </c>
      <c r="F178" s="21" t="n">
        <f aca="false">D178*E178</f>
        <v>42545.28</v>
      </c>
      <c r="G178" s="21" t="n">
        <v>19611.92</v>
      </c>
      <c r="H178" s="21" t="n">
        <f aca="false">F178-G178</f>
        <v>22933.36</v>
      </c>
      <c r="I178" s="20" t="n">
        <v>7</v>
      </c>
      <c r="J178" s="21" t="n">
        <f aca="false">F178-I178*E178</f>
        <v>40994.15</v>
      </c>
    </row>
    <row r="179" customFormat="false" ht="15" hidden="false" customHeight="false" outlineLevel="0" collapsed="false">
      <c r="A179" s="0" t="s">
        <v>39</v>
      </c>
      <c r="B179" s="0" t="s">
        <v>34</v>
      </c>
      <c r="C179" s="0" t="s">
        <v>27</v>
      </c>
      <c r="D179" s="0" t="n">
        <v>341</v>
      </c>
      <c r="E179" s="22" t="n">
        <v>156.48</v>
      </c>
      <c r="F179" s="22" t="n">
        <f aca="false">D179*E179</f>
        <v>53359.68</v>
      </c>
      <c r="G179" s="22" t="n">
        <v>26399.56</v>
      </c>
      <c r="H179" s="22" t="n">
        <f aca="false">F179-G179</f>
        <v>26960.12</v>
      </c>
      <c r="I179" s="0" t="n">
        <v>0</v>
      </c>
      <c r="J179" s="22" t="n">
        <f aca="false">F179-I179*E179</f>
        <v>53359.68</v>
      </c>
    </row>
    <row r="180" customFormat="false" ht="15" hidden="false" customHeight="false" outlineLevel="0" collapsed="false">
      <c r="A180" s="20" t="s">
        <v>39</v>
      </c>
      <c r="B180" s="20" t="s">
        <v>34</v>
      </c>
      <c r="C180" s="20" t="s">
        <v>28</v>
      </c>
      <c r="D180" s="20" t="n">
        <v>303</v>
      </c>
      <c r="E180" s="21" t="n">
        <v>214.23</v>
      </c>
      <c r="F180" s="21" t="n">
        <f aca="false">D180*E180</f>
        <v>64911.69</v>
      </c>
      <c r="G180" s="21" t="n">
        <v>28915.56</v>
      </c>
      <c r="H180" s="21" t="n">
        <f aca="false">F180-G180</f>
        <v>35996.13</v>
      </c>
      <c r="I180" s="20" t="n">
        <v>6</v>
      </c>
      <c r="J180" s="21" t="n">
        <f aca="false">F180-I180*E180</f>
        <v>63626.31</v>
      </c>
    </row>
    <row r="181" customFormat="false" ht="15" hidden="false" customHeight="false" outlineLevel="0" collapsed="false">
      <c r="A181" s="0" t="s">
        <v>39</v>
      </c>
      <c r="B181" s="0" t="s">
        <v>34</v>
      </c>
      <c r="C181" s="0" t="s">
        <v>29</v>
      </c>
      <c r="D181" s="0" t="n">
        <v>231</v>
      </c>
      <c r="E181" s="22" t="n">
        <v>201.48</v>
      </c>
      <c r="F181" s="22" t="n">
        <f aca="false">D181*E181</f>
        <v>46541.88</v>
      </c>
      <c r="G181" s="22" t="n">
        <v>22576.75</v>
      </c>
      <c r="H181" s="22" t="n">
        <f aca="false">F181-G181</f>
        <v>23965.13</v>
      </c>
      <c r="I181" s="0" t="n">
        <v>9</v>
      </c>
      <c r="J181" s="22" t="n">
        <f aca="false">F181-I181*E181</f>
        <v>44728.56</v>
      </c>
    </row>
    <row r="182" customFormat="false" ht="15" hidden="false" customHeight="false" outlineLevel="0" collapsed="false">
      <c r="A182" s="20" t="s">
        <v>40</v>
      </c>
      <c r="B182" s="20" t="s">
        <v>24</v>
      </c>
      <c r="C182" s="20" t="s">
        <v>25</v>
      </c>
      <c r="D182" s="20" t="n">
        <v>409</v>
      </c>
      <c r="E182" s="21" t="n">
        <v>221.23</v>
      </c>
      <c r="F182" s="21" t="n">
        <f aca="false">D182*E182</f>
        <v>90483.07</v>
      </c>
      <c r="G182" s="21" t="n">
        <v>48765.65</v>
      </c>
      <c r="H182" s="21" t="n">
        <f aca="false">F182-G182</f>
        <v>41717.42</v>
      </c>
      <c r="I182" s="20" t="n">
        <v>16</v>
      </c>
      <c r="J182" s="21" t="n">
        <f aca="false">F182-I182*E182</f>
        <v>86943.39</v>
      </c>
    </row>
    <row r="183" customFormat="false" ht="15" hidden="false" customHeight="false" outlineLevel="0" collapsed="false">
      <c r="A183" s="0" t="s">
        <v>40</v>
      </c>
      <c r="B183" s="0" t="s">
        <v>24</v>
      </c>
      <c r="C183" s="0" t="s">
        <v>26</v>
      </c>
      <c r="D183" s="0" t="n">
        <v>147</v>
      </c>
      <c r="E183" s="22" t="n">
        <v>30.55</v>
      </c>
      <c r="F183" s="22" t="n">
        <f aca="false">D183*E183</f>
        <v>4490.85</v>
      </c>
      <c r="G183" s="22" t="n">
        <v>2604.78</v>
      </c>
      <c r="H183" s="22" t="n">
        <f aca="false">F183-G183</f>
        <v>1886.07</v>
      </c>
      <c r="I183" s="0" t="n">
        <v>7</v>
      </c>
      <c r="J183" s="22" t="n">
        <f aca="false">F183-I183*E183</f>
        <v>4277</v>
      </c>
    </row>
    <row r="184" customFormat="false" ht="15" hidden="false" customHeight="false" outlineLevel="0" collapsed="false">
      <c r="A184" s="20" t="s">
        <v>40</v>
      </c>
      <c r="B184" s="20" t="s">
        <v>24</v>
      </c>
      <c r="C184" s="20" t="s">
        <v>27</v>
      </c>
      <c r="D184" s="20" t="n">
        <v>334</v>
      </c>
      <c r="E184" s="21" t="n">
        <v>191.96</v>
      </c>
      <c r="F184" s="21" t="n">
        <f aca="false">D184*E184</f>
        <v>64114.64</v>
      </c>
      <c r="G184" s="21" t="n">
        <v>36715.4</v>
      </c>
      <c r="H184" s="21" t="n">
        <f aca="false">F184-G184</f>
        <v>27399.24</v>
      </c>
      <c r="I184" s="20" t="n">
        <v>15</v>
      </c>
      <c r="J184" s="21" t="n">
        <f aca="false">F184-I184*E184</f>
        <v>61235.24</v>
      </c>
    </row>
    <row r="185" customFormat="false" ht="15" hidden="false" customHeight="false" outlineLevel="0" collapsed="false">
      <c r="A185" s="0" t="s">
        <v>40</v>
      </c>
      <c r="B185" s="0" t="s">
        <v>24</v>
      </c>
      <c r="C185" s="0" t="s">
        <v>28</v>
      </c>
      <c r="D185" s="0" t="n">
        <v>279</v>
      </c>
      <c r="E185" s="22" t="n">
        <v>200.3</v>
      </c>
      <c r="F185" s="22" t="n">
        <f aca="false">D185*E185</f>
        <v>55883.7</v>
      </c>
      <c r="G185" s="22" t="n">
        <v>23653.52</v>
      </c>
      <c r="H185" s="22" t="n">
        <f aca="false">F185-G185</f>
        <v>32230.18</v>
      </c>
      <c r="I185" s="0" t="n">
        <v>3</v>
      </c>
      <c r="J185" s="22" t="n">
        <f aca="false">F185-I185*E185</f>
        <v>55282.8</v>
      </c>
    </row>
    <row r="186" customFormat="false" ht="15" hidden="false" customHeight="false" outlineLevel="0" collapsed="false">
      <c r="A186" s="20" t="s">
        <v>40</v>
      </c>
      <c r="B186" s="20" t="s">
        <v>24</v>
      </c>
      <c r="C186" s="20" t="s">
        <v>29</v>
      </c>
      <c r="D186" s="20" t="n">
        <v>257</v>
      </c>
      <c r="E186" s="21" t="n">
        <v>176.03</v>
      </c>
      <c r="F186" s="21" t="n">
        <f aca="false">D186*E186</f>
        <v>45239.71</v>
      </c>
      <c r="G186" s="21" t="n">
        <v>21559.05</v>
      </c>
      <c r="H186" s="21" t="n">
        <f aca="false">F186-G186</f>
        <v>23680.66</v>
      </c>
      <c r="I186" s="20" t="n">
        <v>9</v>
      </c>
      <c r="J186" s="21" t="n">
        <f aca="false">F186-I186*E186</f>
        <v>43655.44</v>
      </c>
    </row>
    <row r="187" customFormat="false" ht="15" hidden="false" customHeight="false" outlineLevel="0" collapsed="false">
      <c r="A187" s="0" t="s">
        <v>40</v>
      </c>
      <c r="B187" s="0" t="s">
        <v>30</v>
      </c>
      <c r="C187" s="0" t="s">
        <v>25</v>
      </c>
      <c r="D187" s="0" t="n">
        <v>238</v>
      </c>
      <c r="E187" s="22" t="n">
        <v>123.58</v>
      </c>
      <c r="F187" s="22" t="n">
        <f aca="false">D187*E187</f>
        <v>29412.04</v>
      </c>
      <c r="G187" s="22" t="n">
        <v>15668.69</v>
      </c>
      <c r="H187" s="22" t="n">
        <f aca="false">F187-G187</f>
        <v>13743.35</v>
      </c>
      <c r="I187" s="0" t="n">
        <v>6</v>
      </c>
      <c r="J187" s="22" t="n">
        <f aca="false">F187-I187*E187</f>
        <v>28670.56</v>
      </c>
    </row>
    <row r="188" customFormat="false" ht="15" hidden="false" customHeight="false" outlineLevel="0" collapsed="false">
      <c r="A188" s="20" t="s">
        <v>40</v>
      </c>
      <c r="B188" s="20" t="s">
        <v>30</v>
      </c>
      <c r="C188" s="20" t="s">
        <v>26</v>
      </c>
      <c r="D188" s="20" t="n">
        <v>431</v>
      </c>
      <c r="E188" s="21" t="n">
        <v>142.09</v>
      </c>
      <c r="F188" s="21" t="n">
        <f aca="false">D188*E188</f>
        <v>61240.79</v>
      </c>
      <c r="G188" s="21" t="n">
        <v>29882.6</v>
      </c>
      <c r="H188" s="21" t="n">
        <f aca="false">F188-G188</f>
        <v>31358.19</v>
      </c>
      <c r="I188" s="20" t="n">
        <v>14</v>
      </c>
      <c r="J188" s="21" t="n">
        <f aca="false">F188-I188*E188</f>
        <v>59251.53</v>
      </c>
    </row>
    <row r="189" customFormat="false" ht="15" hidden="false" customHeight="false" outlineLevel="0" collapsed="false">
      <c r="A189" s="0" t="s">
        <v>40</v>
      </c>
      <c r="B189" s="0" t="s">
        <v>30</v>
      </c>
      <c r="C189" s="0" t="s">
        <v>27</v>
      </c>
      <c r="D189" s="0" t="n">
        <v>188</v>
      </c>
      <c r="E189" s="22" t="n">
        <v>83.59</v>
      </c>
      <c r="F189" s="22" t="n">
        <f aca="false">D189*E189</f>
        <v>15714.92</v>
      </c>
      <c r="G189" s="22" t="n">
        <v>7191.69</v>
      </c>
      <c r="H189" s="22" t="n">
        <f aca="false">F189-G189</f>
        <v>8523.23</v>
      </c>
      <c r="I189" s="0" t="n">
        <v>3</v>
      </c>
      <c r="J189" s="22" t="n">
        <f aca="false">F189-I189*E189</f>
        <v>15464.15</v>
      </c>
    </row>
    <row r="190" customFormat="false" ht="15" hidden="false" customHeight="false" outlineLevel="0" collapsed="false">
      <c r="A190" s="20" t="s">
        <v>40</v>
      </c>
      <c r="B190" s="20" t="s">
        <v>30</v>
      </c>
      <c r="C190" s="20" t="s">
        <v>28</v>
      </c>
      <c r="D190" s="20" t="n">
        <v>211</v>
      </c>
      <c r="E190" s="21" t="n">
        <v>38.69</v>
      </c>
      <c r="F190" s="21" t="n">
        <f aca="false">D190*E190</f>
        <v>8163.59</v>
      </c>
      <c r="G190" s="21" t="n">
        <v>4359.08</v>
      </c>
      <c r="H190" s="21" t="n">
        <f aca="false">F190-G190</f>
        <v>3804.51</v>
      </c>
      <c r="I190" s="20" t="n">
        <v>2</v>
      </c>
      <c r="J190" s="21" t="n">
        <f aca="false">F190-I190*E190</f>
        <v>8086.21</v>
      </c>
    </row>
    <row r="191" customFormat="false" ht="15" hidden="false" customHeight="false" outlineLevel="0" collapsed="false">
      <c r="A191" s="0" t="s">
        <v>40</v>
      </c>
      <c r="B191" s="0" t="s">
        <v>30</v>
      </c>
      <c r="C191" s="0" t="s">
        <v>29</v>
      </c>
      <c r="D191" s="0" t="n">
        <v>148</v>
      </c>
      <c r="E191" s="22" t="n">
        <v>61.93</v>
      </c>
      <c r="F191" s="22" t="n">
        <f aca="false">D191*E191</f>
        <v>9165.64</v>
      </c>
      <c r="G191" s="22" t="n">
        <v>4775.75</v>
      </c>
      <c r="H191" s="22" t="n">
        <f aca="false">F191-G191</f>
        <v>4389.89</v>
      </c>
      <c r="I191" s="0" t="n">
        <v>4</v>
      </c>
      <c r="J191" s="22" t="n">
        <f aca="false">F191-I191*E191</f>
        <v>8917.92</v>
      </c>
    </row>
    <row r="192" customFormat="false" ht="15" hidden="false" customHeight="false" outlineLevel="0" collapsed="false">
      <c r="A192" s="20" t="s">
        <v>40</v>
      </c>
      <c r="B192" s="20" t="s">
        <v>31</v>
      </c>
      <c r="C192" s="20" t="s">
        <v>25</v>
      </c>
      <c r="D192" s="20" t="n">
        <v>101</v>
      </c>
      <c r="E192" s="21" t="n">
        <v>209.83</v>
      </c>
      <c r="F192" s="21" t="n">
        <f aca="false">D192*E192</f>
        <v>21192.83</v>
      </c>
      <c r="G192" s="21" t="n">
        <v>10046.71</v>
      </c>
      <c r="H192" s="21" t="n">
        <f aca="false">F192-G192</f>
        <v>11146.12</v>
      </c>
      <c r="I192" s="20" t="n">
        <v>2</v>
      </c>
      <c r="J192" s="21" t="n">
        <f aca="false">F192-I192*E192</f>
        <v>20773.17</v>
      </c>
    </row>
    <row r="193" customFormat="false" ht="15" hidden="false" customHeight="false" outlineLevel="0" collapsed="false">
      <c r="A193" s="0" t="s">
        <v>40</v>
      </c>
      <c r="B193" s="0" t="s">
        <v>31</v>
      </c>
      <c r="C193" s="0" t="s">
        <v>26</v>
      </c>
      <c r="D193" s="0" t="n">
        <v>141</v>
      </c>
      <c r="E193" s="22" t="n">
        <v>82.54</v>
      </c>
      <c r="F193" s="22" t="n">
        <f aca="false">D193*E193</f>
        <v>11638.14</v>
      </c>
      <c r="G193" s="22" t="n">
        <v>6715.26</v>
      </c>
      <c r="H193" s="22" t="n">
        <f aca="false">F193-G193</f>
        <v>4922.88</v>
      </c>
      <c r="I193" s="0" t="n">
        <v>2</v>
      </c>
      <c r="J193" s="22" t="n">
        <f aca="false">F193-I193*E193</f>
        <v>11473.06</v>
      </c>
    </row>
    <row r="194" customFormat="false" ht="15" hidden="false" customHeight="false" outlineLevel="0" collapsed="false">
      <c r="A194" s="20" t="s">
        <v>40</v>
      </c>
      <c r="B194" s="20" t="s">
        <v>31</v>
      </c>
      <c r="C194" s="20" t="s">
        <v>27</v>
      </c>
      <c r="D194" s="20" t="n">
        <v>190</v>
      </c>
      <c r="E194" s="21" t="n">
        <v>20.92</v>
      </c>
      <c r="F194" s="21" t="n">
        <f aca="false">D194*E194</f>
        <v>3974.8</v>
      </c>
      <c r="G194" s="21" t="n">
        <v>1644.1</v>
      </c>
      <c r="H194" s="21" t="n">
        <f aca="false">F194-G194</f>
        <v>2330.7</v>
      </c>
      <c r="I194" s="20" t="n">
        <v>4</v>
      </c>
      <c r="J194" s="21" t="n">
        <f aca="false">F194-I194*E194</f>
        <v>3891.12</v>
      </c>
    </row>
    <row r="195" customFormat="false" ht="15" hidden="false" customHeight="false" outlineLevel="0" collapsed="false">
      <c r="A195" s="0" t="s">
        <v>40</v>
      </c>
      <c r="B195" s="0" t="s">
        <v>31</v>
      </c>
      <c r="C195" s="0" t="s">
        <v>28</v>
      </c>
      <c r="D195" s="0" t="n">
        <v>407</v>
      </c>
      <c r="E195" s="22" t="n">
        <v>236.58</v>
      </c>
      <c r="F195" s="22" t="n">
        <f aca="false">D195*E195</f>
        <v>96288.06</v>
      </c>
      <c r="G195" s="22" t="n">
        <v>53870.03</v>
      </c>
      <c r="H195" s="22" t="n">
        <f aca="false">F195-G195</f>
        <v>42418.03</v>
      </c>
      <c r="I195" s="0" t="n">
        <v>15</v>
      </c>
      <c r="J195" s="22" t="n">
        <f aca="false">F195-I195*E195</f>
        <v>92739.36</v>
      </c>
    </row>
    <row r="196" customFormat="false" ht="15" hidden="false" customHeight="false" outlineLevel="0" collapsed="false">
      <c r="A196" s="20" t="s">
        <v>40</v>
      </c>
      <c r="B196" s="20" t="s">
        <v>31</v>
      </c>
      <c r="C196" s="20" t="s">
        <v>29</v>
      </c>
      <c r="D196" s="20" t="n">
        <v>102</v>
      </c>
      <c r="E196" s="21" t="n">
        <v>219.45</v>
      </c>
      <c r="F196" s="21" t="n">
        <f aca="false">D196*E196</f>
        <v>22383.9</v>
      </c>
      <c r="G196" s="21" t="n">
        <v>12166.01</v>
      </c>
      <c r="H196" s="21" t="n">
        <f aca="false">F196-G196</f>
        <v>10217.89</v>
      </c>
      <c r="I196" s="20" t="n">
        <v>3</v>
      </c>
      <c r="J196" s="21" t="n">
        <f aca="false">F196-I196*E196</f>
        <v>21725.55</v>
      </c>
    </row>
    <row r="197" customFormat="false" ht="15" hidden="false" customHeight="false" outlineLevel="0" collapsed="false">
      <c r="A197" s="0" t="s">
        <v>40</v>
      </c>
      <c r="B197" s="0" t="s">
        <v>32</v>
      </c>
      <c r="C197" s="0" t="s">
        <v>25</v>
      </c>
      <c r="D197" s="0" t="n">
        <v>295</v>
      </c>
      <c r="E197" s="22" t="n">
        <v>115.71</v>
      </c>
      <c r="F197" s="22" t="n">
        <f aca="false">D197*E197</f>
        <v>34134.45</v>
      </c>
      <c r="G197" s="22" t="n">
        <v>15227.07</v>
      </c>
      <c r="H197" s="22" t="n">
        <f aca="false">F197-G197</f>
        <v>18907.38</v>
      </c>
      <c r="I197" s="0" t="n">
        <v>0</v>
      </c>
      <c r="J197" s="22" t="n">
        <f aca="false">F197-I197*E197</f>
        <v>34134.45</v>
      </c>
    </row>
    <row r="198" customFormat="false" ht="15" hidden="false" customHeight="false" outlineLevel="0" collapsed="false">
      <c r="A198" s="20" t="s">
        <v>40</v>
      </c>
      <c r="B198" s="20" t="s">
        <v>32</v>
      </c>
      <c r="C198" s="20" t="s">
        <v>26</v>
      </c>
      <c r="D198" s="20" t="n">
        <v>179</v>
      </c>
      <c r="E198" s="21" t="n">
        <v>235.86</v>
      </c>
      <c r="F198" s="21" t="n">
        <f aca="false">D198*E198</f>
        <v>42218.94</v>
      </c>
      <c r="G198" s="21" t="n">
        <v>21929.88</v>
      </c>
      <c r="H198" s="21" t="n">
        <f aca="false">F198-G198</f>
        <v>20289.06</v>
      </c>
      <c r="I198" s="20" t="n">
        <v>1</v>
      </c>
      <c r="J198" s="21" t="n">
        <f aca="false">F198-I198*E198</f>
        <v>41983.08</v>
      </c>
    </row>
    <row r="199" customFormat="false" ht="15" hidden="false" customHeight="false" outlineLevel="0" collapsed="false">
      <c r="A199" s="0" t="s">
        <v>40</v>
      </c>
      <c r="B199" s="0" t="s">
        <v>32</v>
      </c>
      <c r="C199" s="0" t="s">
        <v>27</v>
      </c>
      <c r="D199" s="0" t="n">
        <v>255</v>
      </c>
      <c r="E199" s="22" t="n">
        <v>128.02</v>
      </c>
      <c r="F199" s="22" t="n">
        <f aca="false">D199*E199</f>
        <v>32645.1</v>
      </c>
      <c r="G199" s="22" t="n">
        <v>17767.27</v>
      </c>
      <c r="H199" s="22" t="n">
        <f aca="false">F199-G199</f>
        <v>14877.83</v>
      </c>
      <c r="I199" s="0" t="n">
        <v>10</v>
      </c>
      <c r="J199" s="22" t="n">
        <f aca="false">F199-I199*E199</f>
        <v>31364.9</v>
      </c>
    </row>
    <row r="200" customFormat="false" ht="15" hidden="false" customHeight="false" outlineLevel="0" collapsed="false">
      <c r="A200" s="20" t="s">
        <v>40</v>
      </c>
      <c r="B200" s="20" t="s">
        <v>32</v>
      </c>
      <c r="C200" s="20" t="s">
        <v>28</v>
      </c>
      <c r="D200" s="20" t="n">
        <v>77</v>
      </c>
      <c r="E200" s="21" t="n">
        <v>46.41</v>
      </c>
      <c r="F200" s="21" t="n">
        <f aca="false">D200*E200</f>
        <v>3573.57</v>
      </c>
      <c r="G200" s="21" t="n">
        <v>2154.1</v>
      </c>
      <c r="H200" s="21" t="n">
        <f aca="false">F200-G200</f>
        <v>1419.47</v>
      </c>
      <c r="I200" s="20" t="n">
        <v>2</v>
      </c>
      <c r="J200" s="21" t="n">
        <f aca="false">F200-I200*E200</f>
        <v>3480.75</v>
      </c>
    </row>
    <row r="201" customFormat="false" ht="15" hidden="false" customHeight="false" outlineLevel="0" collapsed="false">
      <c r="A201" s="0" t="s">
        <v>40</v>
      </c>
      <c r="B201" s="0" t="s">
        <v>32</v>
      </c>
      <c r="C201" s="0" t="s">
        <v>29</v>
      </c>
      <c r="D201" s="0" t="n">
        <v>93</v>
      </c>
      <c r="E201" s="22" t="n">
        <v>248.54</v>
      </c>
      <c r="F201" s="22" t="n">
        <f aca="false">D201*E201</f>
        <v>23114.22</v>
      </c>
      <c r="G201" s="22" t="n">
        <v>9930.17</v>
      </c>
      <c r="H201" s="22" t="n">
        <f aca="false">F201-G201</f>
        <v>13184.05</v>
      </c>
      <c r="I201" s="0" t="n">
        <v>3</v>
      </c>
      <c r="J201" s="22" t="n">
        <f aca="false">F201-I201*E201</f>
        <v>22368.6</v>
      </c>
    </row>
    <row r="202" customFormat="false" ht="15" hidden="false" customHeight="false" outlineLevel="0" collapsed="false">
      <c r="A202" s="20" t="s">
        <v>40</v>
      </c>
      <c r="B202" s="20" t="s">
        <v>33</v>
      </c>
      <c r="C202" s="20" t="s">
        <v>25</v>
      </c>
      <c r="D202" s="20" t="n">
        <v>360</v>
      </c>
      <c r="E202" s="21" t="n">
        <v>153.07</v>
      </c>
      <c r="F202" s="21" t="n">
        <f aca="false">D202*E202</f>
        <v>55105.2</v>
      </c>
      <c r="G202" s="21" t="n">
        <v>30561.6</v>
      </c>
      <c r="H202" s="21" t="n">
        <f aca="false">F202-G202</f>
        <v>24543.6</v>
      </c>
      <c r="I202" s="20" t="n">
        <v>16</v>
      </c>
      <c r="J202" s="21" t="n">
        <f aca="false">F202-I202*E202</f>
        <v>52656.08</v>
      </c>
    </row>
    <row r="203" customFormat="false" ht="15" hidden="false" customHeight="false" outlineLevel="0" collapsed="false">
      <c r="A203" s="0" t="s">
        <v>40</v>
      </c>
      <c r="B203" s="0" t="s">
        <v>33</v>
      </c>
      <c r="C203" s="0" t="s">
        <v>26</v>
      </c>
      <c r="D203" s="0" t="n">
        <v>244</v>
      </c>
      <c r="E203" s="22" t="n">
        <v>118.12</v>
      </c>
      <c r="F203" s="22" t="n">
        <f aca="false">D203*E203</f>
        <v>28821.28</v>
      </c>
      <c r="G203" s="22" t="n">
        <v>14718.46</v>
      </c>
      <c r="H203" s="22" t="n">
        <f aca="false">F203-G203</f>
        <v>14102.82</v>
      </c>
      <c r="I203" s="0" t="n">
        <v>9</v>
      </c>
      <c r="J203" s="22" t="n">
        <f aca="false">F203-I203*E203</f>
        <v>27758.2</v>
      </c>
    </row>
    <row r="204" customFormat="false" ht="15" hidden="false" customHeight="false" outlineLevel="0" collapsed="false">
      <c r="A204" s="20" t="s">
        <v>40</v>
      </c>
      <c r="B204" s="20" t="s">
        <v>33</v>
      </c>
      <c r="C204" s="20" t="s">
        <v>27</v>
      </c>
      <c r="D204" s="20" t="n">
        <v>269</v>
      </c>
      <c r="E204" s="21" t="n">
        <v>83.29</v>
      </c>
      <c r="F204" s="21" t="n">
        <f aca="false">D204*E204</f>
        <v>22405.01</v>
      </c>
      <c r="G204" s="21" t="n">
        <v>12440.53</v>
      </c>
      <c r="H204" s="21" t="n">
        <f aca="false">F204-G204</f>
        <v>9964.48</v>
      </c>
      <c r="I204" s="20" t="n">
        <v>9</v>
      </c>
      <c r="J204" s="21" t="n">
        <f aca="false">F204-I204*E204</f>
        <v>21655.4</v>
      </c>
    </row>
    <row r="205" customFormat="false" ht="15" hidden="false" customHeight="false" outlineLevel="0" collapsed="false">
      <c r="A205" s="0" t="s">
        <v>40</v>
      </c>
      <c r="B205" s="0" t="s">
        <v>33</v>
      </c>
      <c r="C205" s="0" t="s">
        <v>28</v>
      </c>
      <c r="D205" s="0" t="n">
        <v>428</v>
      </c>
      <c r="E205" s="22" t="n">
        <v>33.82</v>
      </c>
      <c r="F205" s="22" t="n">
        <f aca="false">D205*E205</f>
        <v>14474.96</v>
      </c>
      <c r="G205" s="22" t="n">
        <v>8550.13</v>
      </c>
      <c r="H205" s="22" t="n">
        <f aca="false">F205-G205</f>
        <v>5924.83</v>
      </c>
      <c r="I205" s="0" t="n">
        <v>20</v>
      </c>
      <c r="J205" s="22" t="n">
        <f aca="false">F205-I205*E205</f>
        <v>13798.56</v>
      </c>
    </row>
    <row r="206" customFormat="false" ht="15" hidden="false" customHeight="false" outlineLevel="0" collapsed="false">
      <c r="A206" s="20" t="s">
        <v>40</v>
      </c>
      <c r="B206" s="20" t="s">
        <v>33</v>
      </c>
      <c r="C206" s="20" t="s">
        <v>29</v>
      </c>
      <c r="D206" s="20" t="n">
        <v>158</v>
      </c>
      <c r="E206" s="21" t="n">
        <v>73.52</v>
      </c>
      <c r="F206" s="21" t="n">
        <f aca="false">D206*E206</f>
        <v>11616.16</v>
      </c>
      <c r="G206" s="21" t="n">
        <v>4882.24</v>
      </c>
      <c r="H206" s="21" t="n">
        <f aca="false">F206-G206</f>
        <v>6733.92</v>
      </c>
      <c r="I206" s="20" t="n">
        <v>3</v>
      </c>
      <c r="J206" s="21" t="n">
        <f aca="false">F206-I206*E206</f>
        <v>11395.6</v>
      </c>
    </row>
    <row r="207" customFormat="false" ht="15" hidden="false" customHeight="false" outlineLevel="0" collapsed="false">
      <c r="A207" s="0" t="s">
        <v>40</v>
      </c>
      <c r="B207" s="0" t="s">
        <v>34</v>
      </c>
      <c r="C207" s="0" t="s">
        <v>25</v>
      </c>
      <c r="D207" s="0" t="n">
        <v>138</v>
      </c>
      <c r="E207" s="22" t="n">
        <v>142.48</v>
      </c>
      <c r="F207" s="22" t="n">
        <f aca="false">D207*E207</f>
        <v>19662.24</v>
      </c>
      <c r="G207" s="22" t="n">
        <v>8634.34</v>
      </c>
      <c r="H207" s="22" t="n">
        <f aca="false">F207-G207</f>
        <v>11027.9</v>
      </c>
      <c r="I207" s="0" t="n">
        <v>3</v>
      </c>
      <c r="J207" s="22" t="n">
        <f aca="false">F207-I207*E207</f>
        <v>19234.8</v>
      </c>
    </row>
    <row r="208" customFormat="false" ht="15" hidden="false" customHeight="false" outlineLevel="0" collapsed="false">
      <c r="A208" s="20" t="s">
        <v>40</v>
      </c>
      <c r="B208" s="20" t="s">
        <v>34</v>
      </c>
      <c r="C208" s="20" t="s">
        <v>26</v>
      </c>
      <c r="D208" s="20" t="n">
        <v>280</v>
      </c>
      <c r="E208" s="21" t="n">
        <v>175.45</v>
      </c>
      <c r="F208" s="21" t="n">
        <f aca="false">D208*E208</f>
        <v>49126</v>
      </c>
      <c r="G208" s="21" t="n">
        <v>25421.63</v>
      </c>
      <c r="H208" s="21" t="n">
        <f aca="false">F208-G208</f>
        <v>23704.37</v>
      </c>
      <c r="I208" s="20" t="n">
        <v>0</v>
      </c>
      <c r="J208" s="21" t="n">
        <f aca="false">F208-I208*E208</f>
        <v>49126</v>
      </c>
    </row>
    <row r="209" customFormat="false" ht="15" hidden="false" customHeight="false" outlineLevel="0" collapsed="false">
      <c r="A209" s="0" t="s">
        <v>40</v>
      </c>
      <c r="B209" s="0" t="s">
        <v>34</v>
      </c>
      <c r="C209" s="0" t="s">
        <v>27</v>
      </c>
      <c r="D209" s="0" t="n">
        <v>168</v>
      </c>
      <c r="E209" s="22" t="n">
        <v>79.15</v>
      </c>
      <c r="F209" s="22" t="n">
        <f aca="false">D209*E209</f>
        <v>13297.2</v>
      </c>
      <c r="G209" s="22" t="n">
        <v>6258.72</v>
      </c>
      <c r="H209" s="22" t="n">
        <f aca="false">F209-G209</f>
        <v>7038.48</v>
      </c>
      <c r="I209" s="0" t="n">
        <v>7</v>
      </c>
      <c r="J209" s="22" t="n">
        <f aca="false">F209-I209*E209</f>
        <v>12743.15</v>
      </c>
    </row>
    <row r="210" customFormat="false" ht="15" hidden="false" customHeight="false" outlineLevel="0" collapsed="false">
      <c r="A210" s="20" t="s">
        <v>40</v>
      </c>
      <c r="B210" s="20" t="s">
        <v>34</v>
      </c>
      <c r="C210" s="20" t="s">
        <v>28</v>
      </c>
      <c r="D210" s="20" t="n">
        <v>86</v>
      </c>
      <c r="E210" s="21" t="n">
        <v>174.97</v>
      </c>
      <c r="F210" s="21" t="n">
        <f aca="false">D210*E210</f>
        <v>15047.42</v>
      </c>
      <c r="G210" s="21" t="n">
        <v>9494.59</v>
      </c>
      <c r="H210" s="21" t="n">
        <f aca="false">F210-G210</f>
        <v>5552.83</v>
      </c>
      <c r="I210" s="20" t="n">
        <v>4</v>
      </c>
      <c r="J210" s="21" t="n">
        <f aca="false">F210-I210*E210</f>
        <v>14347.54</v>
      </c>
    </row>
    <row r="211" customFormat="false" ht="15" hidden="false" customHeight="false" outlineLevel="0" collapsed="false">
      <c r="A211" s="0" t="s">
        <v>40</v>
      </c>
      <c r="B211" s="0" t="s">
        <v>34</v>
      </c>
      <c r="C211" s="0" t="s">
        <v>29</v>
      </c>
      <c r="D211" s="0" t="n">
        <v>388</v>
      </c>
      <c r="E211" s="22" t="n">
        <v>202.94</v>
      </c>
      <c r="F211" s="22" t="n">
        <f aca="false">D211*E211</f>
        <v>78740.72</v>
      </c>
      <c r="G211" s="22" t="n">
        <v>35390.39</v>
      </c>
      <c r="H211" s="22" t="n">
        <f aca="false">F211-G211</f>
        <v>43350.33</v>
      </c>
      <c r="I211" s="0" t="n">
        <v>3</v>
      </c>
      <c r="J211" s="22" t="n">
        <f aca="false">F211-I211*E211</f>
        <v>78131.9</v>
      </c>
    </row>
    <row r="212" customFormat="false" ht="15" hidden="false" customHeight="false" outlineLevel="0" collapsed="false">
      <c r="A212" s="20" t="s">
        <v>41</v>
      </c>
      <c r="B212" s="20" t="s">
        <v>24</v>
      </c>
      <c r="C212" s="20" t="s">
        <v>25</v>
      </c>
      <c r="D212" s="20" t="n">
        <v>328</v>
      </c>
      <c r="E212" s="21" t="n">
        <v>63.95</v>
      </c>
      <c r="F212" s="21" t="n">
        <f aca="false">D212*E212</f>
        <v>20975.6</v>
      </c>
      <c r="G212" s="21" t="n">
        <v>9171.53</v>
      </c>
      <c r="H212" s="21" t="n">
        <f aca="false">F212-G212</f>
        <v>11804.07</v>
      </c>
      <c r="I212" s="20" t="n">
        <v>8</v>
      </c>
      <c r="J212" s="21" t="n">
        <f aca="false">F212-I212*E212</f>
        <v>20464</v>
      </c>
    </row>
    <row r="213" customFormat="false" ht="15" hidden="false" customHeight="false" outlineLevel="0" collapsed="false">
      <c r="A213" s="0" t="s">
        <v>41</v>
      </c>
      <c r="B213" s="0" t="s">
        <v>24</v>
      </c>
      <c r="C213" s="0" t="s">
        <v>26</v>
      </c>
      <c r="D213" s="0" t="n">
        <v>473</v>
      </c>
      <c r="E213" s="22" t="n">
        <v>44.14</v>
      </c>
      <c r="F213" s="22" t="n">
        <f aca="false">D213*E213</f>
        <v>20878.22</v>
      </c>
      <c r="G213" s="22" t="n">
        <v>8662.57</v>
      </c>
      <c r="H213" s="22" t="n">
        <f aca="false">F213-G213</f>
        <v>12215.65</v>
      </c>
      <c r="I213" s="0" t="n">
        <v>9</v>
      </c>
      <c r="J213" s="22" t="n">
        <f aca="false">F213-I213*E213</f>
        <v>20480.96</v>
      </c>
    </row>
    <row r="214" customFormat="false" ht="15" hidden="false" customHeight="false" outlineLevel="0" collapsed="false">
      <c r="A214" s="20" t="s">
        <v>41</v>
      </c>
      <c r="B214" s="20" t="s">
        <v>24</v>
      </c>
      <c r="C214" s="20" t="s">
        <v>27</v>
      </c>
      <c r="D214" s="20" t="n">
        <v>354</v>
      </c>
      <c r="E214" s="21" t="n">
        <v>189.75</v>
      </c>
      <c r="F214" s="21" t="n">
        <f aca="false">D214*E214</f>
        <v>67171.5</v>
      </c>
      <c r="G214" s="21" t="n">
        <v>36427.22</v>
      </c>
      <c r="H214" s="21" t="n">
        <f aca="false">F214-G214</f>
        <v>30744.28</v>
      </c>
      <c r="I214" s="20" t="n">
        <v>9</v>
      </c>
      <c r="J214" s="21" t="n">
        <f aca="false">F214-I214*E214</f>
        <v>65463.75</v>
      </c>
    </row>
    <row r="215" customFormat="false" ht="15" hidden="false" customHeight="false" outlineLevel="0" collapsed="false">
      <c r="A215" s="0" t="s">
        <v>41</v>
      </c>
      <c r="B215" s="0" t="s">
        <v>24</v>
      </c>
      <c r="C215" s="0" t="s">
        <v>28</v>
      </c>
      <c r="D215" s="0" t="n">
        <v>274</v>
      </c>
      <c r="E215" s="22" t="n">
        <v>39.84</v>
      </c>
      <c r="F215" s="22" t="n">
        <f aca="false">D215*E215</f>
        <v>10916.16</v>
      </c>
      <c r="G215" s="22" t="n">
        <v>6245.89</v>
      </c>
      <c r="H215" s="22" t="n">
        <f aca="false">F215-G215</f>
        <v>4670.27</v>
      </c>
      <c r="I215" s="0" t="n">
        <v>11</v>
      </c>
      <c r="J215" s="22" t="n">
        <f aca="false">F215-I215*E215</f>
        <v>10477.92</v>
      </c>
    </row>
    <row r="216" customFormat="false" ht="15" hidden="false" customHeight="false" outlineLevel="0" collapsed="false">
      <c r="A216" s="20" t="s">
        <v>41</v>
      </c>
      <c r="B216" s="20" t="s">
        <v>24</v>
      </c>
      <c r="C216" s="20" t="s">
        <v>29</v>
      </c>
      <c r="D216" s="20" t="n">
        <v>256</v>
      </c>
      <c r="E216" s="21" t="n">
        <v>236.24</v>
      </c>
      <c r="F216" s="21" t="n">
        <f aca="false">D216*E216</f>
        <v>60477.44</v>
      </c>
      <c r="G216" s="21" t="n">
        <v>31757.8</v>
      </c>
      <c r="H216" s="21" t="n">
        <f aca="false">F216-G216</f>
        <v>28719.64</v>
      </c>
      <c r="I216" s="20" t="n">
        <v>7</v>
      </c>
      <c r="J216" s="21" t="n">
        <f aca="false">F216-I216*E216</f>
        <v>58823.76</v>
      </c>
    </row>
    <row r="217" customFormat="false" ht="15" hidden="false" customHeight="false" outlineLevel="0" collapsed="false">
      <c r="A217" s="0" t="s">
        <v>41</v>
      </c>
      <c r="B217" s="0" t="s">
        <v>30</v>
      </c>
      <c r="C217" s="0" t="s">
        <v>25</v>
      </c>
      <c r="D217" s="0" t="n">
        <v>274</v>
      </c>
      <c r="E217" s="22" t="n">
        <v>29.31</v>
      </c>
      <c r="F217" s="22" t="n">
        <f aca="false">D217*E217</f>
        <v>8030.94</v>
      </c>
      <c r="G217" s="22" t="n">
        <v>3292.41</v>
      </c>
      <c r="H217" s="22" t="n">
        <f aca="false">F217-G217</f>
        <v>4738.53</v>
      </c>
      <c r="I217" s="0" t="n">
        <v>6</v>
      </c>
      <c r="J217" s="22" t="n">
        <f aca="false">F217-I217*E217</f>
        <v>7855.08</v>
      </c>
    </row>
    <row r="218" customFormat="false" ht="15" hidden="false" customHeight="false" outlineLevel="0" collapsed="false">
      <c r="A218" s="20" t="s">
        <v>41</v>
      </c>
      <c r="B218" s="20" t="s">
        <v>30</v>
      </c>
      <c r="C218" s="20" t="s">
        <v>26</v>
      </c>
      <c r="D218" s="20" t="n">
        <v>426</v>
      </c>
      <c r="E218" s="21" t="n">
        <v>87.36</v>
      </c>
      <c r="F218" s="21" t="n">
        <f aca="false">D218*E218</f>
        <v>37215.36</v>
      </c>
      <c r="G218" s="21" t="n">
        <v>17215.53</v>
      </c>
      <c r="H218" s="21" t="n">
        <f aca="false">F218-G218</f>
        <v>19999.83</v>
      </c>
      <c r="I218" s="20" t="n">
        <v>2</v>
      </c>
      <c r="J218" s="21" t="n">
        <f aca="false">F218-I218*E218</f>
        <v>37040.64</v>
      </c>
    </row>
    <row r="219" customFormat="false" ht="15" hidden="false" customHeight="false" outlineLevel="0" collapsed="false">
      <c r="A219" s="0" t="s">
        <v>41</v>
      </c>
      <c r="B219" s="0" t="s">
        <v>30</v>
      </c>
      <c r="C219" s="0" t="s">
        <v>27</v>
      </c>
      <c r="D219" s="0" t="n">
        <v>167</v>
      </c>
      <c r="E219" s="22" t="n">
        <v>240.86</v>
      </c>
      <c r="F219" s="22" t="n">
        <f aca="false">D219*E219</f>
        <v>40223.62</v>
      </c>
      <c r="G219" s="22" t="n">
        <v>24495.77</v>
      </c>
      <c r="H219" s="22" t="n">
        <f aca="false">F219-G219</f>
        <v>15727.85</v>
      </c>
      <c r="I219" s="0" t="n">
        <v>0</v>
      </c>
      <c r="J219" s="22" t="n">
        <f aca="false">F219-I219*E219</f>
        <v>40223.62</v>
      </c>
    </row>
    <row r="220" customFormat="false" ht="15" hidden="false" customHeight="false" outlineLevel="0" collapsed="false">
      <c r="A220" s="20" t="s">
        <v>41</v>
      </c>
      <c r="B220" s="20" t="s">
        <v>30</v>
      </c>
      <c r="C220" s="20" t="s">
        <v>28</v>
      </c>
      <c r="D220" s="20" t="n">
        <v>441</v>
      </c>
      <c r="E220" s="21" t="n">
        <v>171.35</v>
      </c>
      <c r="F220" s="21" t="n">
        <f aca="false">D220*E220</f>
        <v>75565.35</v>
      </c>
      <c r="G220" s="21" t="n">
        <v>35317.56</v>
      </c>
      <c r="H220" s="21" t="n">
        <f aca="false">F220-G220</f>
        <v>40247.79</v>
      </c>
      <c r="I220" s="20" t="n">
        <v>1</v>
      </c>
      <c r="J220" s="21" t="n">
        <f aca="false">F220-I220*E220</f>
        <v>75394</v>
      </c>
    </row>
    <row r="221" customFormat="false" ht="15" hidden="false" customHeight="false" outlineLevel="0" collapsed="false">
      <c r="A221" s="0" t="s">
        <v>41</v>
      </c>
      <c r="B221" s="0" t="s">
        <v>30</v>
      </c>
      <c r="C221" s="0" t="s">
        <v>29</v>
      </c>
      <c r="D221" s="0" t="n">
        <v>440</v>
      </c>
      <c r="E221" s="22" t="n">
        <v>191.5</v>
      </c>
      <c r="F221" s="22" t="n">
        <f aca="false">D221*E221</f>
        <v>84260</v>
      </c>
      <c r="G221" s="22" t="n">
        <v>43615.1</v>
      </c>
      <c r="H221" s="22" t="n">
        <f aca="false">F221-G221</f>
        <v>40644.9</v>
      </c>
      <c r="I221" s="0" t="n">
        <v>20</v>
      </c>
      <c r="J221" s="22" t="n">
        <f aca="false">F221-I221*E221</f>
        <v>80430</v>
      </c>
    </row>
    <row r="222" customFormat="false" ht="15" hidden="false" customHeight="false" outlineLevel="0" collapsed="false">
      <c r="A222" s="20" t="s">
        <v>41</v>
      </c>
      <c r="B222" s="20" t="s">
        <v>31</v>
      </c>
      <c r="C222" s="20" t="s">
        <v>25</v>
      </c>
      <c r="D222" s="20" t="n">
        <v>276</v>
      </c>
      <c r="E222" s="21" t="n">
        <v>229.86</v>
      </c>
      <c r="F222" s="21" t="n">
        <f aca="false">D222*E222</f>
        <v>63441.36</v>
      </c>
      <c r="G222" s="21" t="n">
        <v>28255.02</v>
      </c>
      <c r="H222" s="21" t="n">
        <f aca="false">F222-G222</f>
        <v>35186.34</v>
      </c>
      <c r="I222" s="20" t="n">
        <v>9</v>
      </c>
      <c r="J222" s="21" t="n">
        <f aca="false">F222-I222*E222</f>
        <v>61372.62</v>
      </c>
    </row>
    <row r="223" customFormat="false" ht="15" hidden="false" customHeight="false" outlineLevel="0" collapsed="false">
      <c r="A223" s="0" t="s">
        <v>41</v>
      </c>
      <c r="B223" s="0" t="s">
        <v>31</v>
      </c>
      <c r="C223" s="0" t="s">
        <v>26</v>
      </c>
      <c r="D223" s="0" t="n">
        <v>273</v>
      </c>
      <c r="E223" s="22" t="n">
        <v>162.35</v>
      </c>
      <c r="F223" s="22" t="n">
        <f aca="false">D223*E223</f>
        <v>44321.55</v>
      </c>
      <c r="G223" s="22" t="n">
        <v>23177.13</v>
      </c>
      <c r="H223" s="22" t="n">
        <f aca="false">F223-G223</f>
        <v>21144.42</v>
      </c>
      <c r="I223" s="0" t="n">
        <v>1</v>
      </c>
      <c r="J223" s="22" t="n">
        <f aca="false">F223-I223*E223</f>
        <v>44159.2</v>
      </c>
    </row>
    <row r="224" customFormat="false" ht="15" hidden="false" customHeight="false" outlineLevel="0" collapsed="false">
      <c r="A224" s="20" t="s">
        <v>41</v>
      </c>
      <c r="B224" s="20" t="s">
        <v>31</v>
      </c>
      <c r="C224" s="20" t="s">
        <v>27</v>
      </c>
      <c r="D224" s="20" t="n">
        <v>290</v>
      </c>
      <c r="E224" s="21" t="n">
        <v>93.51</v>
      </c>
      <c r="F224" s="21" t="n">
        <f aca="false">D224*E224</f>
        <v>27117.9</v>
      </c>
      <c r="G224" s="21" t="n">
        <v>13106.82</v>
      </c>
      <c r="H224" s="21" t="n">
        <f aca="false">F224-G224</f>
        <v>14011.08</v>
      </c>
      <c r="I224" s="20" t="n">
        <v>10</v>
      </c>
      <c r="J224" s="21" t="n">
        <f aca="false">F224-I224*E224</f>
        <v>26182.8</v>
      </c>
    </row>
    <row r="225" customFormat="false" ht="15" hidden="false" customHeight="false" outlineLevel="0" collapsed="false">
      <c r="A225" s="0" t="s">
        <v>41</v>
      </c>
      <c r="B225" s="0" t="s">
        <v>31</v>
      </c>
      <c r="C225" s="0" t="s">
        <v>28</v>
      </c>
      <c r="D225" s="0" t="n">
        <v>103</v>
      </c>
      <c r="E225" s="22" t="n">
        <v>215.86</v>
      </c>
      <c r="F225" s="22" t="n">
        <f aca="false">D225*E225</f>
        <v>22233.58</v>
      </c>
      <c r="G225" s="22" t="n">
        <v>10726.61</v>
      </c>
      <c r="H225" s="22" t="n">
        <f aca="false">F225-G225</f>
        <v>11506.97</v>
      </c>
      <c r="I225" s="0" t="n">
        <v>5</v>
      </c>
      <c r="J225" s="22" t="n">
        <f aca="false">F225-I225*E225</f>
        <v>21154.28</v>
      </c>
    </row>
    <row r="226" customFormat="false" ht="15" hidden="false" customHeight="false" outlineLevel="0" collapsed="false">
      <c r="A226" s="20" t="s">
        <v>41</v>
      </c>
      <c r="B226" s="20" t="s">
        <v>31</v>
      </c>
      <c r="C226" s="20" t="s">
        <v>29</v>
      </c>
      <c r="D226" s="20" t="n">
        <v>303</v>
      </c>
      <c r="E226" s="21" t="n">
        <v>79.17</v>
      </c>
      <c r="F226" s="21" t="n">
        <f aca="false">D226*E226</f>
        <v>23988.51</v>
      </c>
      <c r="G226" s="21" t="n">
        <v>15263.85</v>
      </c>
      <c r="H226" s="21" t="n">
        <f aca="false">F226-G226</f>
        <v>8724.66</v>
      </c>
      <c r="I226" s="20" t="n">
        <v>1</v>
      </c>
      <c r="J226" s="21" t="n">
        <f aca="false">F226-I226*E226</f>
        <v>23909.34</v>
      </c>
    </row>
    <row r="227" customFormat="false" ht="15" hidden="false" customHeight="false" outlineLevel="0" collapsed="false">
      <c r="A227" s="0" t="s">
        <v>41</v>
      </c>
      <c r="B227" s="0" t="s">
        <v>32</v>
      </c>
      <c r="C227" s="0" t="s">
        <v>25</v>
      </c>
      <c r="D227" s="0" t="n">
        <v>282</v>
      </c>
      <c r="E227" s="22" t="n">
        <v>31.13</v>
      </c>
      <c r="F227" s="22" t="n">
        <f aca="false">D227*E227</f>
        <v>8778.66</v>
      </c>
      <c r="G227" s="22" t="n">
        <v>4065.39</v>
      </c>
      <c r="H227" s="22" t="n">
        <f aca="false">F227-G227</f>
        <v>4713.27</v>
      </c>
      <c r="I227" s="0" t="n">
        <v>1</v>
      </c>
      <c r="J227" s="22" t="n">
        <f aca="false">F227-I227*E227</f>
        <v>8747.53</v>
      </c>
    </row>
    <row r="228" customFormat="false" ht="15" hidden="false" customHeight="false" outlineLevel="0" collapsed="false">
      <c r="A228" s="20" t="s">
        <v>41</v>
      </c>
      <c r="B228" s="20" t="s">
        <v>32</v>
      </c>
      <c r="C228" s="20" t="s">
        <v>26</v>
      </c>
      <c r="D228" s="20" t="n">
        <v>445</v>
      </c>
      <c r="E228" s="21" t="n">
        <v>107</v>
      </c>
      <c r="F228" s="21" t="n">
        <f aca="false">D228*E228</f>
        <v>47615</v>
      </c>
      <c r="G228" s="21" t="n">
        <v>25171.63</v>
      </c>
      <c r="H228" s="21" t="n">
        <f aca="false">F228-G228</f>
        <v>22443.37</v>
      </c>
      <c r="I228" s="20" t="n">
        <v>0</v>
      </c>
      <c r="J228" s="21" t="n">
        <f aca="false">F228-I228*E228</f>
        <v>47615</v>
      </c>
    </row>
    <row r="229" customFormat="false" ht="15" hidden="false" customHeight="false" outlineLevel="0" collapsed="false">
      <c r="A229" s="0" t="s">
        <v>41</v>
      </c>
      <c r="B229" s="0" t="s">
        <v>32</v>
      </c>
      <c r="C229" s="0" t="s">
        <v>27</v>
      </c>
      <c r="D229" s="0" t="n">
        <v>386</v>
      </c>
      <c r="E229" s="22" t="n">
        <v>218.65</v>
      </c>
      <c r="F229" s="22" t="n">
        <f aca="false">D229*E229</f>
        <v>84398.9</v>
      </c>
      <c r="G229" s="22" t="n">
        <v>43507.13</v>
      </c>
      <c r="H229" s="22" t="n">
        <f aca="false">F229-G229</f>
        <v>40891.77</v>
      </c>
      <c r="I229" s="0" t="n">
        <v>1</v>
      </c>
      <c r="J229" s="22" t="n">
        <f aca="false">F229-I229*E229</f>
        <v>84180.25</v>
      </c>
    </row>
    <row r="230" customFormat="false" ht="15" hidden="false" customHeight="false" outlineLevel="0" collapsed="false">
      <c r="A230" s="20" t="s">
        <v>41</v>
      </c>
      <c r="B230" s="20" t="s">
        <v>32</v>
      </c>
      <c r="C230" s="20" t="s">
        <v>28</v>
      </c>
      <c r="D230" s="20" t="n">
        <v>146</v>
      </c>
      <c r="E230" s="21" t="n">
        <v>134.43</v>
      </c>
      <c r="F230" s="21" t="n">
        <f aca="false">D230*E230</f>
        <v>19626.78</v>
      </c>
      <c r="G230" s="21" t="n">
        <v>10905.79</v>
      </c>
      <c r="H230" s="21" t="n">
        <f aca="false">F230-G230</f>
        <v>8720.99</v>
      </c>
      <c r="I230" s="20" t="n">
        <v>7</v>
      </c>
      <c r="J230" s="21" t="n">
        <f aca="false">F230-I230*E230</f>
        <v>18685.77</v>
      </c>
    </row>
    <row r="231" customFormat="false" ht="15" hidden="false" customHeight="false" outlineLevel="0" collapsed="false">
      <c r="A231" s="0" t="s">
        <v>41</v>
      </c>
      <c r="B231" s="0" t="s">
        <v>32</v>
      </c>
      <c r="C231" s="0" t="s">
        <v>29</v>
      </c>
      <c r="D231" s="0" t="n">
        <v>370</v>
      </c>
      <c r="E231" s="22" t="n">
        <v>116.09</v>
      </c>
      <c r="F231" s="22" t="n">
        <f aca="false">D231*E231</f>
        <v>42953.3</v>
      </c>
      <c r="G231" s="22" t="n">
        <v>17735.54</v>
      </c>
      <c r="H231" s="22" t="n">
        <f aca="false">F231-G231</f>
        <v>25217.76</v>
      </c>
      <c r="I231" s="0" t="n">
        <v>8</v>
      </c>
      <c r="J231" s="22" t="n">
        <f aca="false">F231-I231*E231</f>
        <v>42024.58</v>
      </c>
    </row>
    <row r="232" customFormat="false" ht="15" hidden="false" customHeight="false" outlineLevel="0" collapsed="false">
      <c r="A232" s="20" t="s">
        <v>41</v>
      </c>
      <c r="B232" s="20" t="s">
        <v>33</v>
      </c>
      <c r="C232" s="20" t="s">
        <v>25</v>
      </c>
      <c r="D232" s="20" t="n">
        <v>331</v>
      </c>
      <c r="E232" s="21" t="n">
        <v>41.44</v>
      </c>
      <c r="F232" s="21" t="n">
        <f aca="false">D232*E232</f>
        <v>13716.64</v>
      </c>
      <c r="G232" s="21" t="n">
        <v>6474.35</v>
      </c>
      <c r="H232" s="21" t="n">
        <f aca="false">F232-G232</f>
        <v>7242.29</v>
      </c>
      <c r="I232" s="20" t="n">
        <v>15</v>
      </c>
      <c r="J232" s="21" t="n">
        <f aca="false">F232-I232*E232</f>
        <v>13095.04</v>
      </c>
    </row>
    <row r="233" customFormat="false" ht="15" hidden="false" customHeight="false" outlineLevel="0" collapsed="false">
      <c r="A233" s="0" t="s">
        <v>41</v>
      </c>
      <c r="B233" s="0" t="s">
        <v>33</v>
      </c>
      <c r="C233" s="0" t="s">
        <v>26</v>
      </c>
      <c r="D233" s="0" t="n">
        <v>112</v>
      </c>
      <c r="E233" s="22" t="n">
        <v>16.93</v>
      </c>
      <c r="F233" s="22" t="n">
        <f aca="false">D233*E233</f>
        <v>1896.16</v>
      </c>
      <c r="G233" s="22" t="n">
        <v>1057.12</v>
      </c>
      <c r="H233" s="22" t="n">
        <f aca="false">F233-G233</f>
        <v>839.04</v>
      </c>
      <c r="I233" s="0" t="n">
        <v>1</v>
      </c>
      <c r="J233" s="22" t="n">
        <f aca="false">F233-I233*E233</f>
        <v>1879.23</v>
      </c>
    </row>
    <row r="234" customFormat="false" ht="15" hidden="false" customHeight="false" outlineLevel="0" collapsed="false">
      <c r="A234" s="20" t="s">
        <v>41</v>
      </c>
      <c r="B234" s="20" t="s">
        <v>33</v>
      </c>
      <c r="C234" s="20" t="s">
        <v>27</v>
      </c>
      <c r="D234" s="20" t="n">
        <v>413</v>
      </c>
      <c r="E234" s="21" t="n">
        <v>48.01</v>
      </c>
      <c r="F234" s="21" t="n">
        <f aca="false">D234*E234</f>
        <v>19828.13</v>
      </c>
      <c r="G234" s="21" t="n">
        <v>10661.78</v>
      </c>
      <c r="H234" s="21" t="n">
        <f aca="false">F234-G234</f>
        <v>9166.35</v>
      </c>
      <c r="I234" s="20" t="n">
        <v>17</v>
      </c>
      <c r="J234" s="21" t="n">
        <f aca="false">F234-I234*E234</f>
        <v>19011.96</v>
      </c>
    </row>
    <row r="235" customFormat="false" ht="15" hidden="false" customHeight="false" outlineLevel="0" collapsed="false">
      <c r="A235" s="0" t="s">
        <v>41</v>
      </c>
      <c r="B235" s="0" t="s">
        <v>33</v>
      </c>
      <c r="C235" s="0" t="s">
        <v>28</v>
      </c>
      <c r="D235" s="0" t="n">
        <v>258</v>
      </c>
      <c r="E235" s="22" t="n">
        <v>32.37</v>
      </c>
      <c r="F235" s="22" t="n">
        <f aca="false">D235*E235</f>
        <v>8351.46</v>
      </c>
      <c r="G235" s="22" t="n">
        <v>5412.28</v>
      </c>
      <c r="H235" s="22" t="n">
        <f aca="false">F235-G235</f>
        <v>2939.18</v>
      </c>
      <c r="I235" s="0" t="n">
        <v>1</v>
      </c>
      <c r="J235" s="22" t="n">
        <f aca="false">F235-I235*E235</f>
        <v>8319.09</v>
      </c>
    </row>
    <row r="236" customFormat="false" ht="15" hidden="false" customHeight="false" outlineLevel="0" collapsed="false">
      <c r="A236" s="20" t="s">
        <v>41</v>
      </c>
      <c r="B236" s="20" t="s">
        <v>33</v>
      </c>
      <c r="C236" s="20" t="s">
        <v>29</v>
      </c>
      <c r="D236" s="20" t="n">
        <v>286</v>
      </c>
      <c r="E236" s="21" t="n">
        <v>237.29</v>
      </c>
      <c r="F236" s="21" t="n">
        <f aca="false">D236*E236</f>
        <v>67864.94</v>
      </c>
      <c r="G236" s="21" t="n">
        <v>38135.17</v>
      </c>
      <c r="H236" s="21" t="n">
        <f aca="false">F236-G236</f>
        <v>29729.77</v>
      </c>
      <c r="I236" s="20" t="n">
        <v>2</v>
      </c>
      <c r="J236" s="21" t="n">
        <f aca="false">F236-I236*E236</f>
        <v>67390.36</v>
      </c>
    </row>
    <row r="237" customFormat="false" ht="15" hidden="false" customHeight="false" outlineLevel="0" collapsed="false">
      <c r="A237" s="0" t="s">
        <v>41</v>
      </c>
      <c r="B237" s="0" t="s">
        <v>34</v>
      </c>
      <c r="C237" s="0" t="s">
        <v>25</v>
      </c>
      <c r="D237" s="0" t="n">
        <v>305</v>
      </c>
      <c r="E237" s="22" t="n">
        <v>233.84</v>
      </c>
      <c r="F237" s="22" t="n">
        <f aca="false">D237*E237</f>
        <v>71321.2</v>
      </c>
      <c r="G237" s="22" t="n">
        <v>33732.46</v>
      </c>
      <c r="H237" s="22" t="n">
        <f aca="false">F237-G237</f>
        <v>37588.74</v>
      </c>
      <c r="I237" s="0" t="n">
        <v>8</v>
      </c>
      <c r="J237" s="22" t="n">
        <f aca="false">F237-I237*E237</f>
        <v>69450.48</v>
      </c>
    </row>
    <row r="238" customFormat="false" ht="15" hidden="false" customHeight="false" outlineLevel="0" collapsed="false">
      <c r="A238" s="20" t="s">
        <v>41</v>
      </c>
      <c r="B238" s="20" t="s">
        <v>34</v>
      </c>
      <c r="C238" s="20" t="s">
        <v>26</v>
      </c>
      <c r="D238" s="20" t="n">
        <v>262</v>
      </c>
      <c r="E238" s="21" t="n">
        <v>210.33</v>
      </c>
      <c r="F238" s="21" t="n">
        <f aca="false">D238*E238</f>
        <v>55106.46</v>
      </c>
      <c r="G238" s="21" t="n">
        <v>35547.04</v>
      </c>
      <c r="H238" s="21" t="n">
        <f aca="false">F238-G238</f>
        <v>19559.42</v>
      </c>
      <c r="I238" s="20" t="n">
        <v>3</v>
      </c>
      <c r="J238" s="21" t="n">
        <f aca="false">F238-I238*E238</f>
        <v>54475.47</v>
      </c>
    </row>
    <row r="239" customFormat="false" ht="15" hidden="false" customHeight="false" outlineLevel="0" collapsed="false">
      <c r="A239" s="0" t="s">
        <v>41</v>
      </c>
      <c r="B239" s="0" t="s">
        <v>34</v>
      </c>
      <c r="C239" s="0" t="s">
        <v>27</v>
      </c>
      <c r="D239" s="0" t="n">
        <v>283</v>
      </c>
      <c r="E239" s="22" t="n">
        <v>142.3</v>
      </c>
      <c r="F239" s="22" t="n">
        <f aca="false">D239*E239</f>
        <v>40270.9</v>
      </c>
      <c r="G239" s="22" t="n">
        <v>19970.2</v>
      </c>
      <c r="H239" s="22" t="n">
        <f aca="false">F239-G239</f>
        <v>20300.7</v>
      </c>
      <c r="I239" s="0" t="n">
        <v>14</v>
      </c>
      <c r="J239" s="22" t="n">
        <f aca="false">F239-I239*E239</f>
        <v>38278.7</v>
      </c>
    </row>
    <row r="240" customFormat="false" ht="15" hidden="false" customHeight="false" outlineLevel="0" collapsed="false">
      <c r="A240" s="20" t="s">
        <v>41</v>
      </c>
      <c r="B240" s="20" t="s">
        <v>34</v>
      </c>
      <c r="C240" s="20" t="s">
        <v>28</v>
      </c>
      <c r="D240" s="20" t="n">
        <v>356</v>
      </c>
      <c r="E240" s="21" t="n">
        <v>131.98</v>
      </c>
      <c r="F240" s="21" t="n">
        <f aca="false">D240*E240</f>
        <v>46984.88</v>
      </c>
      <c r="G240" s="21" t="n">
        <v>29122.71</v>
      </c>
      <c r="H240" s="21" t="n">
        <f aca="false">F240-G240</f>
        <v>17862.17</v>
      </c>
      <c r="I240" s="20" t="n">
        <v>2</v>
      </c>
      <c r="J240" s="21" t="n">
        <f aca="false">F240-I240*E240</f>
        <v>46720.92</v>
      </c>
    </row>
    <row r="241" customFormat="false" ht="15" hidden="false" customHeight="false" outlineLevel="0" collapsed="false">
      <c r="A241" s="0" t="s">
        <v>41</v>
      </c>
      <c r="B241" s="0" t="s">
        <v>34</v>
      </c>
      <c r="C241" s="0" t="s">
        <v>29</v>
      </c>
      <c r="D241" s="0" t="n">
        <v>191</v>
      </c>
      <c r="E241" s="22" t="n">
        <v>195.44</v>
      </c>
      <c r="F241" s="22" t="n">
        <f aca="false">D241*E241</f>
        <v>37329.04</v>
      </c>
      <c r="G241" s="22" t="n">
        <v>22905.21</v>
      </c>
      <c r="H241" s="22" t="n">
        <f aca="false">F241-G241</f>
        <v>14423.83</v>
      </c>
      <c r="I241" s="0" t="n">
        <v>5</v>
      </c>
      <c r="J241" s="22" t="n">
        <f aca="false">F241-I241*E241</f>
        <v>36351.84</v>
      </c>
    </row>
    <row r="242" customFormat="false" ht="15" hidden="false" customHeight="false" outlineLevel="0" collapsed="false">
      <c r="A242" s="20" t="s">
        <v>42</v>
      </c>
      <c r="B242" s="20" t="s">
        <v>24</v>
      </c>
      <c r="C242" s="20" t="s">
        <v>25</v>
      </c>
      <c r="D242" s="20" t="n">
        <v>453</v>
      </c>
      <c r="E242" s="21" t="n">
        <v>131.86</v>
      </c>
      <c r="F242" s="21" t="n">
        <f aca="false">D242*E242</f>
        <v>59732.58</v>
      </c>
      <c r="G242" s="21" t="n">
        <v>36146.42</v>
      </c>
      <c r="H242" s="21" t="n">
        <f aca="false">F242-G242</f>
        <v>23586.16</v>
      </c>
      <c r="I242" s="20" t="n">
        <v>9</v>
      </c>
      <c r="J242" s="21" t="n">
        <f aca="false">F242-I242*E242</f>
        <v>58545.84</v>
      </c>
    </row>
    <row r="243" customFormat="false" ht="15" hidden="false" customHeight="false" outlineLevel="0" collapsed="false">
      <c r="A243" s="0" t="s">
        <v>42</v>
      </c>
      <c r="B243" s="0" t="s">
        <v>24</v>
      </c>
      <c r="C243" s="0" t="s">
        <v>26</v>
      </c>
      <c r="D243" s="0" t="n">
        <v>421</v>
      </c>
      <c r="E243" s="22" t="n">
        <v>81.65</v>
      </c>
      <c r="F243" s="22" t="n">
        <f aca="false">D243*E243</f>
        <v>34374.65</v>
      </c>
      <c r="G243" s="22" t="n">
        <v>18793.8</v>
      </c>
      <c r="H243" s="22" t="n">
        <f aca="false">F243-G243</f>
        <v>15580.85</v>
      </c>
      <c r="I243" s="0" t="n">
        <v>21</v>
      </c>
      <c r="J243" s="22" t="n">
        <f aca="false">F243-I243*E243</f>
        <v>32660</v>
      </c>
    </row>
    <row r="244" customFormat="false" ht="15" hidden="false" customHeight="false" outlineLevel="0" collapsed="false">
      <c r="A244" s="20" t="s">
        <v>42</v>
      </c>
      <c r="B244" s="20" t="s">
        <v>24</v>
      </c>
      <c r="C244" s="20" t="s">
        <v>27</v>
      </c>
      <c r="D244" s="20" t="n">
        <v>300</v>
      </c>
      <c r="E244" s="21" t="n">
        <v>217.66</v>
      </c>
      <c r="F244" s="21" t="n">
        <f aca="false">D244*E244</f>
        <v>65298</v>
      </c>
      <c r="G244" s="21" t="n">
        <v>33408.86</v>
      </c>
      <c r="H244" s="21" t="n">
        <f aca="false">F244-G244</f>
        <v>31889.14</v>
      </c>
      <c r="I244" s="20" t="n">
        <v>15</v>
      </c>
      <c r="J244" s="21" t="n">
        <f aca="false">F244-I244*E244</f>
        <v>62033.1</v>
      </c>
    </row>
    <row r="245" customFormat="false" ht="15" hidden="false" customHeight="false" outlineLevel="0" collapsed="false">
      <c r="A245" s="0" t="s">
        <v>42</v>
      </c>
      <c r="B245" s="0" t="s">
        <v>24</v>
      </c>
      <c r="C245" s="0" t="s">
        <v>28</v>
      </c>
      <c r="D245" s="0" t="n">
        <v>226</v>
      </c>
      <c r="E245" s="22" t="n">
        <v>89.79</v>
      </c>
      <c r="F245" s="22" t="n">
        <f aca="false">D245*E245</f>
        <v>20292.54</v>
      </c>
      <c r="G245" s="22" t="n">
        <v>11987.17</v>
      </c>
      <c r="H245" s="22" t="n">
        <f aca="false">F245-G245</f>
        <v>8305.37</v>
      </c>
      <c r="I245" s="0" t="n">
        <v>6</v>
      </c>
      <c r="J245" s="22" t="n">
        <f aca="false">F245-I245*E245</f>
        <v>19753.8</v>
      </c>
    </row>
    <row r="246" customFormat="false" ht="15" hidden="false" customHeight="false" outlineLevel="0" collapsed="false">
      <c r="A246" s="20" t="s">
        <v>42</v>
      </c>
      <c r="B246" s="20" t="s">
        <v>24</v>
      </c>
      <c r="C246" s="20" t="s">
        <v>29</v>
      </c>
      <c r="D246" s="20" t="n">
        <v>283</v>
      </c>
      <c r="E246" s="21" t="n">
        <v>233.88</v>
      </c>
      <c r="F246" s="21" t="n">
        <f aca="false">D246*E246</f>
        <v>66188.04</v>
      </c>
      <c r="G246" s="21" t="n">
        <v>40864.52</v>
      </c>
      <c r="H246" s="21" t="n">
        <f aca="false">F246-G246</f>
        <v>25323.52</v>
      </c>
      <c r="I246" s="20" t="n">
        <v>11</v>
      </c>
      <c r="J246" s="21" t="n">
        <f aca="false">F246-I246*E246</f>
        <v>63615.36</v>
      </c>
    </row>
    <row r="247" customFormat="false" ht="15" hidden="false" customHeight="false" outlineLevel="0" collapsed="false">
      <c r="A247" s="0" t="s">
        <v>42</v>
      </c>
      <c r="B247" s="0" t="s">
        <v>30</v>
      </c>
      <c r="C247" s="0" t="s">
        <v>25</v>
      </c>
      <c r="D247" s="0" t="n">
        <v>172</v>
      </c>
      <c r="E247" s="22" t="n">
        <v>147.23</v>
      </c>
      <c r="F247" s="22" t="n">
        <f aca="false">D247*E247</f>
        <v>25323.56</v>
      </c>
      <c r="G247" s="22" t="n">
        <v>11608.08</v>
      </c>
      <c r="H247" s="22" t="n">
        <f aca="false">F247-G247</f>
        <v>13715.48</v>
      </c>
      <c r="I247" s="0" t="n">
        <v>6</v>
      </c>
      <c r="J247" s="22" t="n">
        <f aca="false">F247-I247*E247</f>
        <v>24440.18</v>
      </c>
    </row>
    <row r="248" customFormat="false" ht="15" hidden="false" customHeight="false" outlineLevel="0" collapsed="false">
      <c r="A248" s="20" t="s">
        <v>42</v>
      </c>
      <c r="B248" s="20" t="s">
        <v>30</v>
      </c>
      <c r="C248" s="20" t="s">
        <v>26</v>
      </c>
      <c r="D248" s="20" t="n">
        <v>72</v>
      </c>
      <c r="E248" s="21" t="n">
        <v>86.36</v>
      </c>
      <c r="F248" s="21" t="n">
        <f aca="false">D248*E248</f>
        <v>6217.92</v>
      </c>
      <c r="G248" s="21" t="n">
        <v>3222.4</v>
      </c>
      <c r="H248" s="21" t="n">
        <f aca="false">F248-G248</f>
        <v>2995.52</v>
      </c>
      <c r="I248" s="20" t="n">
        <v>3</v>
      </c>
      <c r="J248" s="21" t="n">
        <f aca="false">F248-I248*E248</f>
        <v>5958.84</v>
      </c>
    </row>
    <row r="249" customFormat="false" ht="15" hidden="false" customHeight="false" outlineLevel="0" collapsed="false">
      <c r="A249" s="0" t="s">
        <v>42</v>
      </c>
      <c r="B249" s="0" t="s">
        <v>30</v>
      </c>
      <c r="C249" s="0" t="s">
        <v>27</v>
      </c>
      <c r="D249" s="0" t="n">
        <v>247</v>
      </c>
      <c r="E249" s="22" t="n">
        <v>247.22</v>
      </c>
      <c r="F249" s="22" t="n">
        <f aca="false">D249*E249</f>
        <v>61063.34</v>
      </c>
      <c r="G249" s="22" t="n">
        <v>36521.89</v>
      </c>
      <c r="H249" s="22" t="n">
        <f aca="false">F249-G249</f>
        <v>24541.45</v>
      </c>
      <c r="I249" s="0" t="n">
        <v>10</v>
      </c>
      <c r="J249" s="22" t="n">
        <f aca="false">F249-I249*E249</f>
        <v>58591.14</v>
      </c>
    </row>
    <row r="250" customFormat="false" ht="15" hidden="false" customHeight="false" outlineLevel="0" collapsed="false">
      <c r="A250" s="20" t="s">
        <v>42</v>
      </c>
      <c r="B250" s="20" t="s">
        <v>30</v>
      </c>
      <c r="C250" s="20" t="s">
        <v>28</v>
      </c>
      <c r="D250" s="20" t="n">
        <v>127</v>
      </c>
      <c r="E250" s="21" t="n">
        <v>128.88</v>
      </c>
      <c r="F250" s="21" t="n">
        <f aca="false">D250*E250</f>
        <v>16367.76</v>
      </c>
      <c r="G250" s="21" t="n">
        <v>6698.59</v>
      </c>
      <c r="H250" s="21" t="n">
        <f aca="false">F250-G250</f>
        <v>9669.17</v>
      </c>
      <c r="I250" s="20" t="n">
        <v>4</v>
      </c>
      <c r="J250" s="21" t="n">
        <f aca="false">F250-I250*E250</f>
        <v>15852.24</v>
      </c>
    </row>
    <row r="251" customFormat="false" ht="15" hidden="false" customHeight="false" outlineLevel="0" collapsed="false">
      <c r="A251" s="0" t="s">
        <v>42</v>
      </c>
      <c r="B251" s="0" t="s">
        <v>30</v>
      </c>
      <c r="C251" s="0" t="s">
        <v>29</v>
      </c>
      <c r="D251" s="0" t="n">
        <v>352</v>
      </c>
      <c r="E251" s="22" t="n">
        <v>89.68</v>
      </c>
      <c r="F251" s="22" t="n">
        <f aca="false">D251*E251</f>
        <v>31567.36</v>
      </c>
      <c r="G251" s="22" t="n">
        <v>13419.01</v>
      </c>
      <c r="H251" s="22" t="n">
        <f aca="false">F251-G251</f>
        <v>18148.35</v>
      </c>
      <c r="I251" s="0" t="n">
        <v>14</v>
      </c>
      <c r="J251" s="22" t="n">
        <f aca="false">F251-I251*E251</f>
        <v>30311.84</v>
      </c>
    </row>
    <row r="252" customFormat="false" ht="15" hidden="false" customHeight="false" outlineLevel="0" collapsed="false">
      <c r="A252" s="20" t="s">
        <v>42</v>
      </c>
      <c r="B252" s="20" t="s">
        <v>31</v>
      </c>
      <c r="C252" s="20" t="s">
        <v>25</v>
      </c>
      <c r="D252" s="20" t="n">
        <v>101</v>
      </c>
      <c r="E252" s="21" t="n">
        <v>136.23</v>
      </c>
      <c r="F252" s="21" t="n">
        <f aca="false">D252*E252</f>
        <v>13759.23</v>
      </c>
      <c r="G252" s="21" t="n">
        <v>7075.44</v>
      </c>
      <c r="H252" s="21" t="n">
        <f aca="false">F252-G252</f>
        <v>6683.79</v>
      </c>
      <c r="I252" s="20" t="n">
        <v>5</v>
      </c>
      <c r="J252" s="21" t="n">
        <f aca="false">F252-I252*E252</f>
        <v>13078.08</v>
      </c>
    </row>
    <row r="253" customFormat="false" ht="15" hidden="false" customHeight="false" outlineLevel="0" collapsed="false">
      <c r="A253" s="0" t="s">
        <v>42</v>
      </c>
      <c r="B253" s="0" t="s">
        <v>31</v>
      </c>
      <c r="C253" s="0" t="s">
        <v>26</v>
      </c>
      <c r="D253" s="0" t="n">
        <v>123</v>
      </c>
      <c r="E253" s="22" t="n">
        <v>108.39</v>
      </c>
      <c r="F253" s="22" t="n">
        <f aca="false">D253*E253</f>
        <v>13331.97</v>
      </c>
      <c r="G253" s="22" t="n">
        <v>7515.17</v>
      </c>
      <c r="H253" s="22" t="n">
        <f aca="false">F253-G253</f>
        <v>5816.8</v>
      </c>
      <c r="I253" s="0" t="n">
        <v>1</v>
      </c>
      <c r="J253" s="22" t="n">
        <f aca="false">F253-I253*E253</f>
        <v>13223.58</v>
      </c>
    </row>
    <row r="254" customFormat="false" ht="15" hidden="false" customHeight="false" outlineLevel="0" collapsed="false">
      <c r="A254" s="20" t="s">
        <v>42</v>
      </c>
      <c r="B254" s="20" t="s">
        <v>31</v>
      </c>
      <c r="C254" s="20" t="s">
        <v>27</v>
      </c>
      <c r="D254" s="20" t="n">
        <v>88</v>
      </c>
      <c r="E254" s="21" t="n">
        <v>122.68</v>
      </c>
      <c r="F254" s="21" t="n">
        <f aca="false">D254*E254</f>
        <v>10795.84</v>
      </c>
      <c r="G254" s="21" t="n">
        <v>6934.18</v>
      </c>
      <c r="H254" s="21" t="n">
        <f aca="false">F254-G254</f>
        <v>3861.66</v>
      </c>
      <c r="I254" s="20" t="n">
        <v>2</v>
      </c>
      <c r="J254" s="21" t="n">
        <f aca="false">F254-I254*E254</f>
        <v>10550.48</v>
      </c>
    </row>
    <row r="255" customFormat="false" ht="15" hidden="false" customHeight="false" outlineLevel="0" collapsed="false">
      <c r="A255" s="0" t="s">
        <v>42</v>
      </c>
      <c r="B255" s="0" t="s">
        <v>31</v>
      </c>
      <c r="C255" s="0" t="s">
        <v>28</v>
      </c>
      <c r="D255" s="0" t="n">
        <v>369</v>
      </c>
      <c r="E255" s="22" t="n">
        <v>176.25</v>
      </c>
      <c r="F255" s="22" t="n">
        <f aca="false">D255*E255</f>
        <v>65036.25</v>
      </c>
      <c r="G255" s="22" t="n">
        <v>36580.23</v>
      </c>
      <c r="H255" s="22" t="n">
        <f aca="false">F255-G255</f>
        <v>28456.02</v>
      </c>
      <c r="I255" s="0" t="n">
        <v>10</v>
      </c>
      <c r="J255" s="22" t="n">
        <f aca="false">F255-I255*E255</f>
        <v>63273.75</v>
      </c>
    </row>
    <row r="256" customFormat="false" ht="15" hidden="false" customHeight="false" outlineLevel="0" collapsed="false">
      <c r="A256" s="20" t="s">
        <v>42</v>
      </c>
      <c r="B256" s="20" t="s">
        <v>31</v>
      </c>
      <c r="C256" s="20" t="s">
        <v>29</v>
      </c>
      <c r="D256" s="20" t="n">
        <v>486</v>
      </c>
      <c r="E256" s="21" t="n">
        <v>171.85</v>
      </c>
      <c r="F256" s="21" t="n">
        <f aca="false">D256*E256</f>
        <v>83519.1</v>
      </c>
      <c r="G256" s="21" t="n">
        <v>44549.55</v>
      </c>
      <c r="H256" s="21" t="n">
        <f aca="false">F256-G256</f>
        <v>38969.55</v>
      </c>
      <c r="I256" s="20" t="n">
        <v>10</v>
      </c>
      <c r="J256" s="21" t="n">
        <f aca="false">F256-I256*E256</f>
        <v>81800.6</v>
      </c>
    </row>
    <row r="257" customFormat="false" ht="15" hidden="false" customHeight="false" outlineLevel="0" collapsed="false">
      <c r="A257" s="0" t="s">
        <v>42</v>
      </c>
      <c r="B257" s="0" t="s">
        <v>32</v>
      </c>
      <c r="C257" s="0" t="s">
        <v>25</v>
      </c>
      <c r="D257" s="0" t="n">
        <v>370</v>
      </c>
      <c r="E257" s="22" t="n">
        <v>182.49</v>
      </c>
      <c r="F257" s="22" t="n">
        <f aca="false">D257*E257</f>
        <v>67521.3</v>
      </c>
      <c r="G257" s="22" t="n">
        <v>39827.47</v>
      </c>
      <c r="H257" s="22" t="n">
        <f aca="false">F257-G257</f>
        <v>27693.83</v>
      </c>
      <c r="I257" s="0" t="n">
        <v>17</v>
      </c>
      <c r="J257" s="22" t="n">
        <f aca="false">F257-I257*E257</f>
        <v>64418.97</v>
      </c>
    </row>
    <row r="258" customFormat="false" ht="15" hidden="false" customHeight="false" outlineLevel="0" collapsed="false">
      <c r="A258" s="20" t="s">
        <v>42</v>
      </c>
      <c r="B258" s="20" t="s">
        <v>32</v>
      </c>
      <c r="C258" s="20" t="s">
        <v>26</v>
      </c>
      <c r="D258" s="20" t="n">
        <v>68</v>
      </c>
      <c r="E258" s="21" t="n">
        <v>158.19</v>
      </c>
      <c r="F258" s="21" t="n">
        <f aca="false">D258*E258</f>
        <v>10756.92</v>
      </c>
      <c r="G258" s="21" t="n">
        <v>4934.12</v>
      </c>
      <c r="H258" s="21" t="n">
        <f aca="false">F258-G258</f>
        <v>5822.8</v>
      </c>
      <c r="I258" s="20" t="n">
        <v>2</v>
      </c>
      <c r="J258" s="21" t="n">
        <f aca="false">F258-I258*E258</f>
        <v>10440.54</v>
      </c>
    </row>
    <row r="259" customFormat="false" ht="15" hidden="false" customHeight="false" outlineLevel="0" collapsed="false">
      <c r="A259" s="0" t="s">
        <v>42</v>
      </c>
      <c r="B259" s="0" t="s">
        <v>32</v>
      </c>
      <c r="C259" s="0" t="s">
        <v>27</v>
      </c>
      <c r="D259" s="0" t="n">
        <v>166</v>
      </c>
      <c r="E259" s="22" t="n">
        <v>189.22</v>
      </c>
      <c r="F259" s="22" t="n">
        <f aca="false">D259*E259</f>
        <v>31410.52</v>
      </c>
      <c r="G259" s="22" t="n">
        <v>15972.03</v>
      </c>
      <c r="H259" s="22" t="n">
        <f aca="false">F259-G259</f>
        <v>15438.49</v>
      </c>
      <c r="I259" s="0" t="n">
        <v>1</v>
      </c>
      <c r="J259" s="22" t="n">
        <f aca="false">F259-I259*E259</f>
        <v>31221.3</v>
      </c>
    </row>
    <row r="260" customFormat="false" ht="15" hidden="false" customHeight="false" outlineLevel="0" collapsed="false">
      <c r="A260" s="20" t="s">
        <v>42</v>
      </c>
      <c r="B260" s="20" t="s">
        <v>32</v>
      </c>
      <c r="C260" s="20" t="s">
        <v>28</v>
      </c>
      <c r="D260" s="20" t="n">
        <v>439</v>
      </c>
      <c r="E260" s="21" t="n">
        <v>162.1</v>
      </c>
      <c r="F260" s="21" t="n">
        <f aca="false">D260*E260</f>
        <v>71161.9</v>
      </c>
      <c r="G260" s="21" t="n">
        <v>43988.36</v>
      </c>
      <c r="H260" s="21" t="n">
        <f aca="false">F260-G260</f>
        <v>27173.54</v>
      </c>
      <c r="I260" s="20" t="n">
        <v>14</v>
      </c>
      <c r="J260" s="21" t="n">
        <f aca="false">F260-I260*E260</f>
        <v>68892.5</v>
      </c>
    </row>
    <row r="261" customFormat="false" ht="15" hidden="false" customHeight="false" outlineLevel="0" collapsed="false">
      <c r="A261" s="0" t="s">
        <v>42</v>
      </c>
      <c r="B261" s="0" t="s">
        <v>32</v>
      </c>
      <c r="C261" s="0" t="s">
        <v>29</v>
      </c>
      <c r="D261" s="0" t="n">
        <v>135</v>
      </c>
      <c r="E261" s="22" t="n">
        <v>176.56</v>
      </c>
      <c r="F261" s="22" t="n">
        <f aca="false">D261*E261</f>
        <v>23835.6</v>
      </c>
      <c r="G261" s="22" t="n">
        <v>14917.65</v>
      </c>
      <c r="H261" s="22" t="n">
        <f aca="false">F261-G261</f>
        <v>8917.95</v>
      </c>
      <c r="I261" s="0" t="n">
        <v>0</v>
      </c>
      <c r="J261" s="22" t="n">
        <f aca="false">F261-I261*E261</f>
        <v>23835.6</v>
      </c>
    </row>
    <row r="262" customFormat="false" ht="15" hidden="false" customHeight="false" outlineLevel="0" collapsed="false">
      <c r="A262" s="20" t="s">
        <v>42</v>
      </c>
      <c r="B262" s="20" t="s">
        <v>33</v>
      </c>
      <c r="C262" s="20" t="s">
        <v>25</v>
      </c>
      <c r="D262" s="20" t="n">
        <v>216</v>
      </c>
      <c r="E262" s="21" t="n">
        <v>201.07</v>
      </c>
      <c r="F262" s="21" t="n">
        <f aca="false">D262*E262</f>
        <v>43431.12</v>
      </c>
      <c r="G262" s="21" t="n">
        <v>20557.77</v>
      </c>
      <c r="H262" s="21" t="n">
        <f aca="false">F262-G262</f>
        <v>22873.35</v>
      </c>
      <c r="I262" s="20" t="n">
        <v>5</v>
      </c>
      <c r="J262" s="21" t="n">
        <f aca="false">F262-I262*E262</f>
        <v>42425.77</v>
      </c>
    </row>
    <row r="263" customFormat="false" ht="15" hidden="false" customHeight="false" outlineLevel="0" collapsed="false">
      <c r="A263" s="0" t="s">
        <v>42</v>
      </c>
      <c r="B263" s="0" t="s">
        <v>33</v>
      </c>
      <c r="C263" s="0" t="s">
        <v>26</v>
      </c>
      <c r="D263" s="0" t="n">
        <v>270</v>
      </c>
      <c r="E263" s="22" t="n">
        <v>44.94</v>
      </c>
      <c r="F263" s="22" t="n">
        <f aca="false">D263*E263</f>
        <v>12133.8</v>
      </c>
      <c r="G263" s="22" t="n">
        <v>6464.79</v>
      </c>
      <c r="H263" s="22" t="n">
        <f aca="false">F263-G263</f>
        <v>5669.01</v>
      </c>
      <c r="I263" s="0" t="n">
        <v>9</v>
      </c>
      <c r="J263" s="22" t="n">
        <f aca="false">F263-I263*E263</f>
        <v>11729.34</v>
      </c>
    </row>
    <row r="264" customFormat="false" ht="15" hidden="false" customHeight="false" outlineLevel="0" collapsed="false">
      <c r="A264" s="20" t="s">
        <v>42</v>
      </c>
      <c r="B264" s="20" t="s">
        <v>33</v>
      </c>
      <c r="C264" s="20" t="s">
        <v>27</v>
      </c>
      <c r="D264" s="20" t="n">
        <v>399</v>
      </c>
      <c r="E264" s="21" t="n">
        <v>200.2</v>
      </c>
      <c r="F264" s="21" t="n">
        <f aca="false">D264*E264</f>
        <v>79879.8</v>
      </c>
      <c r="G264" s="21" t="n">
        <v>35346.48</v>
      </c>
      <c r="H264" s="21" t="n">
        <f aca="false">F264-G264</f>
        <v>44533.32</v>
      </c>
      <c r="I264" s="20" t="n">
        <v>2</v>
      </c>
      <c r="J264" s="21" t="n">
        <f aca="false">F264-I264*E264</f>
        <v>79479.4</v>
      </c>
    </row>
    <row r="265" customFormat="false" ht="15" hidden="false" customHeight="false" outlineLevel="0" collapsed="false">
      <c r="A265" s="0" t="s">
        <v>42</v>
      </c>
      <c r="B265" s="0" t="s">
        <v>33</v>
      </c>
      <c r="C265" s="0" t="s">
        <v>28</v>
      </c>
      <c r="D265" s="0" t="n">
        <v>362</v>
      </c>
      <c r="E265" s="22" t="n">
        <v>219</v>
      </c>
      <c r="F265" s="22" t="n">
        <f aca="false">D265*E265</f>
        <v>79278</v>
      </c>
      <c r="G265" s="22" t="n">
        <v>43993.55</v>
      </c>
      <c r="H265" s="22" t="n">
        <f aca="false">F265-G265</f>
        <v>35284.45</v>
      </c>
      <c r="I265" s="0" t="n">
        <v>7</v>
      </c>
      <c r="J265" s="22" t="n">
        <f aca="false">F265-I265*E265</f>
        <v>77745</v>
      </c>
    </row>
    <row r="266" customFormat="false" ht="15" hidden="false" customHeight="false" outlineLevel="0" collapsed="false">
      <c r="A266" s="20" t="s">
        <v>42</v>
      </c>
      <c r="B266" s="20" t="s">
        <v>33</v>
      </c>
      <c r="C266" s="20" t="s">
        <v>29</v>
      </c>
      <c r="D266" s="20" t="n">
        <v>304</v>
      </c>
      <c r="E266" s="21" t="n">
        <v>229.08</v>
      </c>
      <c r="F266" s="21" t="n">
        <f aca="false">D266*E266</f>
        <v>69640.32</v>
      </c>
      <c r="G266" s="21" t="n">
        <v>30347.82</v>
      </c>
      <c r="H266" s="21" t="n">
        <f aca="false">F266-G266</f>
        <v>39292.5</v>
      </c>
      <c r="I266" s="20" t="n">
        <v>14</v>
      </c>
      <c r="J266" s="21" t="n">
        <f aca="false">F266-I266*E266</f>
        <v>66433.2</v>
      </c>
    </row>
    <row r="267" customFormat="false" ht="15" hidden="false" customHeight="false" outlineLevel="0" collapsed="false">
      <c r="A267" s="0" t="s">
        <v>42</v>
      </c>
      <c r="B267" s="0" t="s">
        <v>34</v>
      </c>
      <c r="C267" s="0" t="s">
        <v>25</v>
      </c>
      <c r="D267" s="0" t="n">
        <v>376</v>
      </c>
      <c r="E267" s="22" t="n">
        <v>70.95</v>
      </c>
      <c r="F267" s="22" t="n">
        <f aca="false">D267*E267</f>
        <v>26677.2</v>
      </c>
      <c r="G267" s="22" t="n">
        <v>12373.73</v>
      </c>
      <c r="H267" s="22" t="n">
        <f aca="false">F267-G267</f>
        <v>14303.47</v>
      </c>
      <c r="I267" s="0" t="n">
        <v>0</v>
      </c>
      <c r="J267" s="22" t="n">
        <f aca="false">F267-I267*E267</f>
        <v>26677.2</v>
      </c>
    </row>
    <row r="268" customFormat="false" ht="15" hidden="false" customHeight="false" outlineLevel="0" collapsed="false">
      <c r="A268" s="20" t="s">
        <v>42</v>
      </c>
      <c r="B268" s="20" t="s">
        <v>34</v>
      </c>
      <c r="C268" s="20" t="s">
        <v>26</v>
      </c>
      <c r="D268" s="20" t="n">
        <v>461</v>
      </c>
      <c r="E268" s="21" t="n">
        <v>121.66</v>
      </c>
      <c r="F268" s="21" t="n">
        <f aca="false">D268*E268</f>
        <v>56085.26</v>
      </c>
      <c r="G268" s="21" t="n">
        <v>26467.08</v>
      </c>
      <c r="H268" s="21" t="n">
        <f aca="false">F268-G268</f>
        <v>29618.18</v>
      </c>
      <c r="I268" s="20" t="n">
        <v>17</v>
      </c>
      <c r="J268" s="21" t="n">
        <f aca="false">F268-I268*E268</f>
        <v>54017.04</v>
      </c>
    </row>
    <row r="269" customFormat="false" ht="15" hidden="false" customHeight="false" outlineLevel="0" collapsed="false">
      <c r="A269" s="0" t="s">
        <v>42</v>
      </c>
      <c r="B269" s="0" t="s">
        <v>34</v>
      </c>
      <c r="C269" s="0" t="s">
        <v>27</v>
      </c>
      <c r="D269" s="0" t="n">
        <v>130</v>
      </c>
      <c r="E269" s="22" t="n">
        <v>27.73</v>
      </c>
      <c r="F269" s="22" t="n">
        <f aca="false">D269*E269</f>
        <v>3604.9</v>
      </c>
      <c r="G269" s="22" t="n">
        <v>2293.83</v>
      </c>
      <c r="H269" s="22" t="n">
        <f aca="false">F269-G269</f>
        <v>1311.07</v>
      </c>
      <c r="I269" s="0" t="n">
        <v>4</v>
      </c>
      <c r="J269" s="22" t="n">
        <f aca="false">F269-I269*E269</f>
        <v>3493.98</v>
      </c>
    </row>
    <row r="270" customFormat="false" ht="15" hidden="false" customHeight="false" outlineLevel="0" collapsed="false">
      <c r="A270" s="20" t="s">
        <v>42</v>
      </c>
      <c r="B270" s="20" t="s">
        <v>34</v>
      </c>
      <c r="C270" s="20" t="s">
        <v>28</v>
      </c>
      <c r="D270" s="20" t="n">
        <v>203</v>
      </c>
      <c r="E270" s="21" t="n">
        <v>163.35</v>
      </c>
      <c r="F270" s="21" t="n">
        <f aca="false">D270*E270</f>
        <v>33160.05</v>
      </c>
      <c r="G270" s="21" t="n">
        <v>16781.55</v>
      </c>
      <c r="H270" s="21" t="n">
        <f aca="false">F270-G270</f>
        <v>16378.5</v>
      </c>
      <c r="I270" s="20" t="n">
        <v>4</v>
      </c>
      <c r="J270" s="21" t="n">
        <f aca="false">F270-I270*E270</f>
        <v>32506.65</v>
      </c>
    </row>
    <row r="271" customFormat="false" ht="15" hidden="false" customHeight="false" outlineLevel="0" collapsed="false">
      <c r="A271" s="0" t="s">
        <v>42</v>
      </c>
      <c r="B271" s="0" t="s">
        <v>34</v>
      </c>
      <c r="C271" s="0" t="s">
        <v>29</v>
      </c>
      <c r="D271" s="0" t="n">
        <v>283</v>
      </c>
      <c r="E271" s="22" t="n">
        <v>212.87</v>
      </c>
      <c r="F271" s="22" t="n">
        <f aca="false">D271*E271</f>
        <v>60242.21</v>
      </c>
      <c r="G271" s="22" t="n">
        <v>27097.2</v>
      </c>
      <c r="H271" s="22" t="n">
        <f aca="false">F271-G271</f>
        <v>33145.01</v>
      </c>
      <c r="I271" s="0" t="n">
        <v>6</v>
      </c>
      <c r="J271" s="22" t="n">
        <f aca="false">F271-I271*E271</f>
        <v>58964.99</v>
      </c>
    </row>
    <row r="272" customFormat="false" ht="15" hidden="false" customHeight="false" outlineLevel="0" collapsed="false">
      <c r="A272" s="20" t="s">
        <v>43</v>
      </c>
      <c r="B272" s="20" t="s">
        <v>24</v>
      </c>
      <c r="C272" s="20" t="s">
        <v>25</v>
      </c>
      <c r="D272" s="20" t="n">
        <v>486</v>
      </c>
      <c r="E272" s="21" t="n">
        <v>125.97</v>
      </c>
      <c r="F272" s="21" t="n">
        <f aca="false">D272*E272</f>
        <v>61221.42</v>
      </c>
      <c r="G272" s="21" t="n">
        <v>28119.09</v>
      </c>
      <c r="H272" s="21" t="n">
        <f aca="false">F272-G272</f>
        <v>33102.33</v>
      </c>
      <c r="I272" s="20" t="n">
        <v>18</v>
      </c>
      <c r="J272" s="21" t="n">
        <f aca="false">F272-I272*E272</f>
        <v>58953.96</v>
      </c>
    </row>
    <row r="273" customFormat="false" ht="15" hidden="false" customHeight="false" outlineLevel="0" collapsed="false">
      <c r="A273" s="0" t="s">
        <v>43</v>
      </c>
      <c r="B273" s="0" t="s">
        <v>24</v>
      </c>
      <c r="C273" s="0" t="s">
        <v>26</v>
      </c>
      <c r="D273" s="0" t="n">
        <v>233</v>
      </c>
      <c r="E273" s="22" t="n">
        <v>147.95</v>
      </c>
      <c r="F273" s="22" t="n">
        <f aca="false">D273*E273</f>
        <v>34472.35</v>
      </c>
      <c r="G273" s="22" t="n">
        <v>22344.05</v>
      </c>
      <c r="H273" s="22" t="n">
        <f aca="false">F273-G273</f>
        <v>12128.3</v>
      </c>
      <c r="I273" s="0" t="n">
        <v>4</v>
      </c>
      <c r="J273" s="22" t="n">
        <f aca="false">F273-I273*E273</f>
        <v>33880.55</v>
      </c>
    </row>
    <row r="274" customFormat="false" ht="15" hidden="false" customHeight="false" outlineLevel="0" collapsed="false">
      <c r="A274" s="20" t="s">
        <v>43</v>
      </c>
      <c r="B274" s="20" t="s">
        <v>24</v>
      </c>
      <c r="C274" s="20" t="s">
        <v>27</v>
      </c>
      <c r="D274" s="20" t="n">
        <v>61</v>
      </c>
      <c r="E274" s="21" t="n">
        <v>244.71</v>
      </c>
      <c r="F274" s="21" t="n">
        <f aca="false">D274*E274</f>
        <v>14927.31</v>
      </c>
      <c r="G274" s="21" t="n">
        <v>8427.32</v>
      </c>
      <c r="H274" s="21" t="n">
        <f aca="false">F274-G274</f>
        <v>6499.99</v>
      </c>
      <c r="I274" s="20" t="n">
        <v>2</v>
      </c>
      <c r="J274" s="21" t="n">
        <f aca="false">F274-I274*E274</f>
        <v>14437.89</v>
      </c>
    </row>
    <row r="275" customFormat="false" ht="15" hidden="false" customHeight="false" outlineLevel="0" collapsed="false">
      <c r="A275" s="0" t="s">
        <v>43</v>
      </c>
      <c r="B275" s="0" t="s">
        <v>24</v>
      </c>
      <c r="C275" s="0" t="s">
        <v>28</v>
      </c>
      <c r="D275" s="0" t="n">
        <v>54</v>
      </c>
      <c r="E275" s="22" t="n">
        <v>145.82</v>
      </c>
      <c r="F275" s="22" t="n">
        <f aca="false">D275*E275</f>
        <v>7874.28</v>
      </c>
      <c r="G275" s="22" t="n">
        <v>4499.76</v>
      </c>
      <c r="H275" s="22" t="n">
        <f aca="false">F275-G275</f>
        <v>3374.52</v>
      </c>
      <c r="I275" s="0" t="n">
        <v>2</v>
      </c>
      <c r="J275" s="22" t="n">
        <f aca="false">F275-I275*E275</f>
        <v>7582.64</v>
      </c>
    </row>
    <row r="276" customFormat="false" ht="15" hidden="false" customHeight="false" outlineLevel="0" collapsed="false">
      <c r="A276" s="20" t="s">
        <v>43</v>
      </c>
      <c r="B276" s="20" t="s">
        <v>24</v>
      </c>
      <c r="C276" s="20" t="s">
        <v>29</v>
      </c>
      <c r="D276" s="20" t="n">
        <v>75</v>
      </c>
      <c r="E276" s="21" t="n">
        <v>228.55</v>
      </c>
      <c r="F276" s="21" t="n">
        <f aca="false">D276*E276</f>
        <v>17141.25</v>
      </c>
      <c r="G276" s="21" t="n">
        <v>10049.8</v>
      </c>
      <c r="H276" s="21" t="n">
        <f aca="false">F276-G276</f>
        <v>7091.45</v>
      </c>
      <c r="I276" s="20" t="n">
        <v>2</v>
      </c>
      <c r="J276" s="21" t="n">
        <f aca="false">F276-I276*E276</f>
        <v>16684.15</v>
      </c>
    </row>
    <row r="277" customFormat="false" ht="15" hidden="false" customHeight="false" outlineLevel="0" collapsed="false">
      <c r="A277" s="0" t="s">
        <v>43</v>
      </c>
      <c r="B277" s="0" t="s">
        <v>30</v>
      </c>
      <c r="C277" s="0" t="s">
        <v>25</v>
      </c>
      <c r="D277" s="0" t="n">
        <v>447</v>
      </c>
      <c r="E277" s="22" t="n">
        <v>201.73</v>
      </c>
      <c r="F277" s="22" t="n">
        <f aca="false">D277*E277</f>
        <v>90173.31</v>
      </c>
      <c r="G277" s="22" t="n">
        <v>49754.59</v>
      </c>
      <c r="H277" s="22" t="n">
        <f aca="false">F277-G277</f>
        <v>40418.72</v>
      </c>
      <c r="I277" s="0" t="n">
        <v>11</v>
      </c>
      <c r="J277" s="22" t="n">
        <f aca="false">F277-I277*E277</f>
        <v>87954.28</v>
      </c>
    </row>
    <row r="278" customFormat="false" ht="15" hidden="false" customHeight="false" outlineLevel="0" collapsed="false">
      <c r="A278" s="20" t="s">
        <v>43</v>
      </c>
      <c r="B278" s="20" t="s">
        <v>30</v>
      </c>
      <c r="C278" s="20" t="s">
        <v>26</v>
      </c>
      <c r="D278" s="20" t="n">
        <v>162</v>
      </c>
      <c r="E278" s="21" t="n">
        <v>162.79</v>
      </c>
      <c r="F278" s="21" t="n">
        <f aca="false">D278*E278</f>
        <v>26371.98</v>
      </c>
      <c r="G278" s="21" t="n">
        <v>14642.32</v>
      </c>
      <c r="H278" s="21" t="n">
        <f aca="false">F278-G278</f>
        <v>11729.66</v>
      </c>
      <c r="I278" s="20" t="n">
        <v>2</v>
      </c>
      <c r="J278" s="21" t="n">
        <f aca="false">F278-I278*E278</f>
        <v>26046.4</v>
      </c>
    </row>
    <row r="279" customFormat="false" ht="15" hidden="false" customHeight="false" outlineLevel="0" collapsed="false">
      <c r="A279" s="0" t="s">
        <v>43</v>
      </c>
      <c r="B279" s="0" t="s">
        <v>30</v>
      </c>
      <c r="C279" s="0" t="s">
        <v>27</v>
      </c>
      <c r="D279" s="0" t="n">
        <v>371</v>
      </c>
      <c r="E279" s="22" t="n">
        <v>33.32</v>
      </c>
      <c r="F279" s="22" t="n">
        <f aca="false">D279*E279</f>
        <v>12361.72</v>
      </c>
      <c r="G279" s="22" t="n">
        <v>6883.8</v>
      </c>
      <c r="H279" s="22" t="n">
        <f aca="false">F279-G279</f>
        <v>5477.92</v>
      </c>
      <c r="I279" s="0" t="n">
        <v>1</v>
      </c>
      <c r="J279" s="22" t="n">
        <f aca="false">F279-I279*E279</f>
        <v>12328.4</v>
      </c>
    </row>
    <row r="280" customFormat="false" ht="15" hidden="false" customHeight="false" outlineLevel="0" collapsed="false">
      <c r="A280" s="20" t="s">
        <v>43</v>
      </c>
      <c r="B280" s="20" t="s">
        <v>30</v>
      </c>
      <c r="C280" s="20" t="s">
        <v>28</v>
      </c>
      <c r="D280" s="20" t="n">
        <v>208</v>
      </c>
      <c r="E280" s="21" t="n">
        <v>199.27</v>
      </c>
      <c r="F280" s="21" t="n">
        <f aca="false">D280*E280</f>
        <v>41448.16</v>
      </c>
      <c r="G280" s="21" t="n">
        <v>16924.99</v>
      </c>
      <c r="H280" s="21" t="n">
        <f aca="false">F280-G280</f>
        <v>24523.17</v>
      </c>
      <c r="I280" s="20" t="n">
        <v>5</v>
      </c>
      <c r="J280" s="21" t="n">
        <f aca="false">F280-I280*E280</f>
        <v>40451.81</v>
      </c>
    </row>
    <row r="281" customFormat="false" ht="15" hidden="false" customHeight="false" outlineLevel="0" collapsed="false">
      <c r="A281" s="0" t="s">
        <v>43</v>
      </c>
      <c r="B281" s="0" t="s">
        <v>30</v>
      </c>
      <c r="C281" s="0" t="s">
        <v>29</v>
      </c>
      <c r="D281" s="0" t="n">
        <v>424</v>
      </c>
      <c r="E281" s="22" t="n">
        <v>41.54</v>
      </c>
      <c r="F281" s="22" t="n">
        <f aca="false">D281*E281</f>
        <v>17612.96</v>
      </c>
      <c r="G281" s="22" t="n">
        <v>11050.49</v>
      </c>
      <c r="H281" s="22" t="n">
        <f aca="false">F281-G281</f>
        <v>6562.47</v>
      </c>
      <c r="I281" s="0" t="n">
        <v>10</v>
      </c>
      <c r="J281" s="22" t="n">
        <f aca="false">F281-I281*E281</f>
        <v>17197.56</v>
      </c>
    </row>
    <row r="282" customFormat="false" ht="15" hidden="false" customHeight="false" outlineLevel="0" collapsed="false">
      <c r="A282" s="20" t="s">
        <v>43</v>
      </c>
      <c r="B282" s="20" t="s">
        <v>31</v>
      </c>
      <c r="C282" s="20" t="s">
        <v>25</v>
      </c>
      <c r="D282" s="20" t="n">
        <v>432</v>
      </c>
      <c r="E282" s="21" t="n">
        <v>109.72</v>
      </c>
      <c r="F282" s="21" t="n">
        <f aca="false">D282*E282</f>
        <v>47399.04</v>
      </c>
      <c r="G282" s="21" t="n">
        <v>21338.99</v>
      </c>
      <c r="H282" s="21" t="n">
        <f aca="false">F282-G282</f>
        <v>26060.05</v>
      </c>
      <c r="I282" s="20" t="n">
        <v>17</v>
      </c>
      <c r="J282" s="21" t="n">
        <f aca="false">F282-I282*E282</f>
        <v>45533.8</v>
      </c>
    </row>
    <row r="283" customFormat="false" ht="15" hidden="false" customHeight="false" outlineLevel="0" collapsed="false">
      <c r="A283" s="0" t="s">
        <v>43</v>
      </c>
      <c r="B283" s="0" t="s">
        <v>31</v>
      </c>
      <c r="C283" s="0" t="s">
        <v>26</v>
      </c>
      <c r="D283" s="0" t="n">
        <v>498</v>
      </c>
      <c r="E283" s="22" t="n">
        <v>243.16</v>
      </c>
      <c r="F283" s="22" t="n">
        <f aca="false">D283*E283</f>
        <v>121093.68</v>
      </c>
      <c r="G283" s="22" t="n">
        <v>64508.19</v>
      </c>
      <c r="H283" s="22" t="n">
        <f aca="false">F283-G283</f>
        <v>56585.49</v>
      </c>
      <c r="I283" s="0" t="n">
        <v>8</v>
      </c>
      <c r="J283" s="22" t="n">
        <f aca="false">F283-I283*E283</f>
        <v>119148.4</v>
      </c>
    </row>
    <row r="284" customFormat="false" ht="15" hidden="false" customHeight="false" outlineLevel="0" collapsed="false">
      <c r="A284" s="20" t="s">
        <v>43</v>
      </c>
      <c r="B284" s="20" t="s">
        <v>31</v>
      </c>
      <c r="C284" s="20" t="s">
        <v>27</v>
      </c>
      <c r="D284" s="20" t="n">
        <v>475</v>
      </c>
      <c r="E284" s="21" t="n">
        <v>49.49</v>
      </c>
      <c r="F284" s="21" t="n">
        <f aca="false">D284*E284</f>
        <v>23507.75</v>
      </c>
      <c r="G284" s="21" t="n">
        <v>14774.91</v>
      </c>
      <c r="H284" s="21" t="n">
        <f aca="false">F284-G284</f>
        <v>8732.84</v>
      </c>
      <c r="I284" s="20" t="n">
        <v>15</v>
      </c>
      <c r="J284" s="21" t="n">
        <f aca="false">F284-I284*E284</f>
        <v>22765.4</v>
      </c>
    </row>
    <row r="285" customFormat="false" ht="15" hidden="false" customHeight="false" outlineLevel="0" collapsed="false">
      <c r="A285" s="0" t="s">
        <v>43</v>
      </c>
      <c r="B285" s="0" t="s">
        <v>31</v>
      </c>
      <c r="C285" s="0" t="s">
        <v>28</v>
      </c>
      <c r="D285" s="0" t="n">
        <v>462</v>
      </c>
      <c r="E285" s="22" t="n">
        <v>80.83</v>
      </c>
      <c r="F285" s="22" t="n">
        <f aca="false">D285*E285</f>
        <v>37343.46</v>
      </c>
      <c r="G285" s="22" t="n">
        <v>23063.29</v>
      </c>
      <c r="H285" s="22" t="n">
        <f aca="false">F285-G285</f>
        <v>14280.17</v>
      </c>
      <c r="I285" s="0" t="n">
        <v>3</v>
      </c>
      <c r="J285" s="22" t="n">
        <f aca="false">F285-I285*E285</f>
        <v>37100.97</v>
      </c>
    </row>
    <row r="286" customFormat="false" ht="15" hidden="false" customHeight="false" outlineLevel="0" collapsed="false">
      <c r="A286" s="20" t="s">
        <v>43</v>
      </c>
      <c r="B286" s="20" t="s">
        <v>31</v>
      </c>
      <c r="C286" s="20" t="s">
        <v>29</v>
      </c>
      <c r="D286" s="20" t="n">
        <v>289</v>
      </c>
      <c r="E286" s="21" t="n">
        <v>241.09</v>
      </c>
      <c r="F286" s="21" t="n">
        <f aca="false">D286*E286</f>
        <v>69675.01</v>
      </c>
      <c r="G286" s="21" t="n">
        <v>30321.82</v>
      </c>
      <c r="H286" s="21" t="n">
        <f aca="false">F286-G286</f>
        <v>39353.19</v>
      </c>
      <c r="I286" s="20" t="n">
        <v>3</v>
      </c>
      <c r="J286" s="21" t="n">
        <f aca="false">F286-I286*E286</f>
        <v>68951.74</v>
      </c>
    </row>
    <row r="287" customFormat="false" ht="15" hidden="false" customHeight="false" outlineLevel="0" collapsed="false">
      <c r="A287" s="0" t="s">
        <v>43</v>
      </c>
      <c r="B287" s="0" t="s">
        <v>32</v>
      </c>
      <c r="C287" s="0" t="s">
        <v>25</v>
      </c>
      <c r="D287" s="0" t="n">
        <v>490</v>
      </c>
      <c r="E287" s="22" t="n">
        <v>172.32</v>
      </c>
      <c r="F287" s="22" t="n">
        <f aca="false">D287*E287</f>
        <v>84436.8</v>
      </c>
      <c r="G287" s="22" t="n">
        <v>48010.9</v>
      </c>
      <c r="H287" s="22" t="n">
        <f aca="false">F287-G287</f>
        <v>36425.9</v>
      </c>
      <c r="I287" s="0" t="n">
        <v>12</v>
      </c>
      <c r="J287" s="22" t="n">
        <f aca="false">F287-I287*E287</f>
        <v>82368.96</v>
      </c>
    </row>
    <row r="288" customFormat="false" ht="15" hidden="false" customHeight="false" outlineLevel="0" collapsed="false">
      <c r="A288" s="20" t="s">
        <v>43</v>
      </c>
      <c r="B288" s="20" t="s">
        <v>32</v>
      </c>
      <c r="C288" s="20" t="s">
        <v>26</v>
      </c>
      <c r="D288" s="20" t="n">
        <v>483</v>
      </c>
      <c r="E288" s="21" t="n">
        <v>203.1</v>
      </c>
      <c r="F288" s="21" t="n">
        <f aca="false">D288*E288</f>
        <v>98097.3</v>
      </c>
      <c r="G288" s="21" t="n">
        <v>48209.31</v>
      </c>
      <c r="H288" s="21" t="n">
        <f aca="false">F288-G288</f>
        <v>49887.99</v>
      </c>
      <c r="I288" s="20" t="n">
        <v>12</v>
      </c>
      <c r="J288" s="21" t="n">
        <f aca="false">F288-I288*E288</f>
        <v>95660.1</v>
      </c>
    </row>
    <row r="289" customFormat="false" ht="15" hidden="false" customHeight="false" outlineLevel="0" collapsed="false">
      <c r="A289" s="0" t="s">
        <v>43</v>
      </c>
      <c r="B289" s="0" t="s">
        <v>32</v>
      </c>
      <c r="C289" s="0" t="s">
        <v>27</v>
      </c>
      <c r="D289" s="0" t="n">
        <v>57</v>
      </c>
      <c r="E289" s="22" t="n">
        <v>73.47</v>
      </c>
      <c r="F289" s="22" t="n">
        <f aca="false">D289*E289</f>
        <v>4187.79</v>
      </c>
      <c r="G289" s="22" t="n">
        <v>1804.51</v>
      </c>
      <c r="H289" s="22" t="n">
        <f aca="false">F289-G289</f>
        <v>2383.28</v>
      </c>
      <c r="I289" s="0" t="n">
        <v>1</v>
      </c>
      <c r="J289" s="22" t="n">
        <f aca="false">F289-I289*E289</f>
        <v>4114.32</v>
      </c>
    </row>
    <row r="290" customFormat="false" ht="15" hidden="false" customHeight="false" outlineLevel="0" collapsed="false">
      <c r="A290" s="20" t="s">
        <v>43</v>
      </c>
      <c r="B290" s="20" t="s">
        <v>32</v>
      </c>
      <c r="C290" s="20" t="s">
        <v>28</v>
      </c>
      <c r="D290" s="20" t="n">
        <v>394</v>
      </c>
      <c r="E290" s="21" t="n">
        <v>189.76</v>
      </c>
      <c r="F290" s="21" t="n">
        <f aca="false">D290*E290</f>
        <v>74765.44</v>
      </c>
      <c r="G290" s="21" t="n">
        <v>34806.33</v>
      </c>
      <c r="H290" s="21" t="n">
        <f aca="false">F290-G290</f>
        <v>39959.11</v>
      </c>
      <c r="I290" s="20" t="n">
        <v>12</v>
      </c>
      <c r="J290" s="21" t="n">
        <f aca="false">F290-I290*E290</f>
        <v>72488.32</v>
      </c>
    </row>
    <row r="291" customFormat="false" ht="15" hidden="false" customHeight="false" outlineLevel="0" collapsed="false">
      <c r="A291" s="0" t="s">
        <v>43</v>
      </c>
      <c r="B291" s="0" t="s">
        <v>32</v>
      </c>
      <c r="C291" s="0" t="s">
        <v>29</v>
      </c>
      <c r="D291" s="0" t="n">
        <v>471</v>
      </c>
      <c r="E291" s="22" t="n">
        <v>163.25</v>
      </c>
      <c r="F291" s="22" t="n">
        <f aca="false">D291*E291</f>
        <v>76890.75</v>
      </c>
      <c r="G291" s="22" t="n">
        <v>37897.02</v>
      </c>
      <c r="H291" s="22" t="n">
        <f aca="false">F291-G291</f>
        <v>38993.73</v>
      </c>
      <c r="I291" s="0" t="n">
        <v>21</v>
      </c>
      <c r="J291" s="22" t="n">
        <f aca="false">F291-I291*E291</f>
        <v>73462.5</v>
      </c>
    </row>
    <row r="292" customFormat="false" ht="15" hidden="false" customHeight="false" outlineLevel="0" collapsed="false">
      <c r="A292" s="20" t="s">
        <v>43</v>
      </c>
      <c r="B292" s="20" t="s">
        <v>33</v>
      </c>
      <c r="C292" s="20" t="s">
        <v>25</v>
      </c>
      <c r="D292" s="20" t="n">
        <v>169</v>
      </c>
      <c r="E292" s="21" t="n">
        <v>123.15</v>
      </c>
      <c r="F292" s="21" t="n">
        <f aca="false">D292*E292</f>
        <v>20812.35</v>
      </c>
      <c r="G292" s="21" t="n">
        <v>11548.5</v>
      </c>
      <c r="H292" s="21" t="n">
        <f aca="false">F292-G292</f>
        <v>9263.85</v>
      </c>
      <c r="I292" s="20" t="n">
        <v>8</v>
      </c>
      <c r="J292" s="21" t="n">
        <f aca="false">F292-I292*E292</f>
        <v>19827.15</v>
      </c>
    </row>
    <row r="293" customFormat="false" ht="15" hidden="false" customHeight="false" outlineLevel="0" collapsed="false">
      <c r="A293" s="0" t="s">
        <v>43</v>
      </c>
      <c r="B293" s="0" t="s">
        <v>33</v>
      </c>
      <c r="C293" s="0" t="s">
        <v>26</v>
      </c>
      <c r="D293" s="0" t="n">
        <v>217</v>
      </c>
      <c r="E293" s="22" t="n">
        <v>229.66</v>
      </c>
      <c r="F293" s="22" t="n">
        <f aca="false">D293*E293</f>
        <v>49836.22</v>
      </c>
      <c r="G293" s="22" t="n">
        <v>22692.51</v>
      </c>
      <c r="H293" s="22" t="n">
        <f aca="false">F293-G293</f>
        <v>27143.71</v>
      </c>
      <c r="I293" s="0" t="n">
        <v>1</v>
      </c>
      <c r="J293" s="22" t="n">
        <f aca="false">F293-I293*E293</f>
        <v>49606.56</v>
      </c>
    </row>
    <row r="294" customFormat="false" ht="15" hidden="false" customHeight="false" outlineLevel="0" collapsed="false">
      <c r="A294" s="20" t="s">
        <v>43</v>
      </c>
      <c r="B294" s="20" t="s">
        <v>33</v>
      </c>
      <c r="C294" s="20" t="s">
        <v>27</v>
      </c>
      <c r="D294" s="20" t="n">
        <v>375</v>
      </c>
      <c r="E294" s="21" t="n">
        <v>207.73</v>
      </c>
      <c r="F294" s="21" t="n">
        <f aca="false">D294*E294</f>
        <v>77898.75</v>
      </c>
      <c r="G294" s="21" t="n">
        <v>48869.54</v>
      </c>
      <c r="H294" s="21" t="n">
        <f aca="false">F294-G294</f>
        <v>29029.21</v>
      </c>
      <c r="I294" s="20" t="n">
        <v>9</v>
      </c>
      <c r="J294" s="21" t="n">
        <f aca="false">F294-I294*E294</f>
        <v>76029.18</v>
      </c>
    </row>
    <row r="295" customFormat="false" ht="15" hidden="false" customHeight="false" outlineLevel="0" collapsed="false">
      <c r="A295" s="0" t="s">
        <v>43</v>
      </c>
      <c r="B295" s="0" t="s">
        <v>33</v>
      </c>
      <c r="C295" s="0" t="s">
        <v>28</v>
      </c>
      <c r="D295" s="0" t="n">
        <v>382</v>
      </c>
      <c r="E295" s="22" t="n">
        <v>107.99</v>
      </c>
      <c r="F295" s="22" t="n">
        <f aca="false">D295*E295</f>
        <v>41252.18</v>
      </c>
      <c r="G295" s="22" t="n">
        <v>17942.4</v>
      </c>
      <c r="H295" s="22" t="n">
        <f aca="false">F295-G295</f>
        <v>23309.78</v>
      </c>
      <c r="I295" s="0" t="n">
        <v>1</v>
      </c>
      <c r="J295" s="22" t="n">
        <f aca="false">F295-I295*E295</f>
        <v>41144.19</v>
      </c>
    </row>
    <row r="296" customFormat="false" ht="15" hidden="false" customHeight="false" outlineLevel="0" collapsed="false">
      <c r="A296" s="20" t="s">
        <v>43</v>
      </c>
      <c r="B296" s="20" t="s">
        <v>33</v>
      </c>
      <c r="C296" s="20" t="s">
        <v>29</v>
      </c>
      <c r="D296" s="20" t="n">
        <v>205</v>
      </c>
      <c r="E296" s="21" t="n">
        <v>249.02</v>
      </c>
      <c r="F296" s="21" t="n">
        <f aca="false">D296*E296</f>
        <v>51049.1</v>
      </c>
      <c r="G296" s="21" t="n">
        <v>21901.6</v>
      </c>
      <c r="H296" s="21" t="n">
        <f aca="false">F296-G296</f>
        <v>29147.5</v>
      </c>
      <c r="I296" s="20" t="n">
        <v>3</v>
      </c>
      <c r="J296" s="21" t="n">
        <f aca="false">F296-I296*E296</f>
        <v>50302.04</v>
      </c>
    </row>
    <row r="297" customFormat="false" ht="15" hidden="false" customHeight="false" outlineLevel="0" collapsed="false">
      <c r="A297" s="0" t="s">
        <v>43</v>
      </c>
      <c r="B297" s="0" t="s">
        <v>34</v>
      </c>
      <c r="C297" s="0" t="s">
        <v>25</v>
      </c>
      <c r="D297" s="0" t="n">
        <v>325</v>
      </c>
      <c r="E297" s="22" t="n">
        <v>42.56</v>
      </c>
      <c r="F297" s="22" t="n">
        <f aca="false">D297*E297</f>
        <v>13832</v>
      </c>
      <c r="G297" s="22" t="n">
        <v>7101.5</v>
      </c>
      <c r="H297" s="22" t="n">
        <f aca="false">F297-G297</f>
        <v>6730.5</v>
      </c>
      <c r="I297" s="0" t="n">
        <v>13</v>
      </c>
      <c r="J297" s="22" t="n">
        <f aca="false">F297-I297*E297</f>
        <v>13278.72</v>
      </c>
    </row>
    <row r="298" customFormat="false" ht="15" hidden="false" customHeight="false" outlineLevel="0" collapsed="false">
      <c r="A298" s="20" t="s">
        <v>43</v>
      </c>
      <c r="B298" s="20" t="s">
        <v>34</v>
      </c>
      <c r="C298" s="20" t="s">
        <v>26</v>
      </c>
      <c r="D298" s="20" t="n">
        <v>350</v>
      </c>
      <c r="E298" s="21" t="n">
        <v>188.14</v>
      </c>
      <c r="F298" s="21" t="n">
        <f aca="false">D298*E298</f>
        <v>65849</v>
      </c>
      <c r="G298" s="21" t="n">
        <v>28883.39</v>
      </c>
      <c r="H298" s="21" t="n">
        <f aca="false">F298-G298</f>
        <v>36965.61</v>
      </c>
      <c r="I298" s="20" t="n">
        <v>13</v>
      </c>
      <c r="J298" s="21" t="n">
        <f aca="false">F298-I298*E298</f>
        <v>63403.18</v>
      </c>
    </row>
    <row r="299" customFormat="false" ht="15" hidden="false" customHeight="false" outlineLevel="0" collapsed="false">
      <c r="A299" s="0" t="s">
        <v>43</v>
      </c>
      <c r="B299" s="0" t="s">
        <v>34</v>
      </c>
      <c r="C299" s="0" t="s">
        <v>27</v>
      </c>
      <c r="D299" s="0" t="n">
        <v>385</v>
      </c>
      <c r="E299" s="22" t="n">
        <v>33.77</v>
      </c>
      <c r="F299" s="22" t="n">
        <f aca="false">D299*E299</f>
        <v>13001.45</v>
      </c>
      <c r="G299" s="22" t="n">
        <v>6791.14</v>
      </c>
      <c r="H299" s="22" t="n">
        <f aca="false">F299-G299</f>
        <v>6210.31</v>
      </c>
      <c r="I299" s="0" t="n">
        <v>13</v>
      </c>
      <c r="J299" s="22" t="n">
        <f aca="false">F299-I299*E299</f>
        <v>12562.44</v>
      </c>
    </row>
    <row r="300" customFormat="false" ht="15" hidden="false" customHeight="false" outlineLevel="0" collapsed="false">
      <c r="A300" s="20" t="s">
        <v>43</v>
      </c>
      <c r="B300" s="20" t="s">
        <v>34</v>
      </c>
      <c r="C300" s="20" t="s">
        <v>28</v>
      </c>
      <c r="D300" s="20" t="n">
        <v>193</v>
      </c>
      <c r="E300" s="21" t="n">
        <v>17.85</v>
      </c>
      <c r="F300" s="21" t="n">
        <f aca="false">D300*E300</f>
        <v>3445.05</v>
      </c>
      <c r="G300" s="21" t="n">
        <v>1697.14</v>
      </c>
      <c r="H300" s="21" t="n">
        <f aca="false">F300-G300</f>
        <v>1747.91</v>
      </c>
      <c r="I300" s="20" t="n">
        <v>7</v>
      </c>
      <c r="J300" s="21" t="n">
        <f aca="false">F300-I300*E300</f>
        <v>3320.1</v>
      </c>
    </row>
    <row r="301" customFormat="false" ht="15" hidden="false" customHeight="false" outlineLevel="0" collapsed="false">
      <c r="A301" s="0" t="s">
        <v>43</v>
      </c>
      <c r="B301" s="0" t="s">
        <v>34</v>
      </c>
      <c r="C301" s="0" t="s">
        <v>29</v>
      </c>
      <c r="D301" s="0" t="n">
        <v>277</v>
      </c>
      <c r="E301" s="22" t="n">
        <v>238.13</v>
      </c>
      <c r="F301" s="22" t="n">
        <f aca="false">D301*E301</f>
        <v>65962.01</v>
      </c>
      <c r="G301" s="22" t="n">
        <v>40491.61</v>
      </c>
      <c r="H301" s="22" t="n">
        <f aca="false">F301-G301</f>
        <v>25470.4</v>
      </c>
      <c r="I301" s="0" t="n">
        <v>1</v>
      </c>
      <c r="J301" s="22" t="n">
        <f aca="false">F301-I301*E301</f>
        <v>65723.88</v>
      </c>
    </row>
    <row r="302" customFormat="false" ht="15" hidden="false" customHeight="false" outlineLevel="0" collapsed="false">
      <c r="A302" s="20" t="s">
        <v>44</v>
      </c>
      <c r="B302" s="20" t="s">
        <v>24</v>
      </c>
      <c r="C302" s="20" t="s">
        <v>25</v>
      </c>
      <c r="D302" s="20" t="n">
        <v>401</v>
      </c>
      <c r="E302" s="21" t="n">
        <v>98.16</v>
      </c>
      <c r="F302" s="21" t="n">
        <f aca="false">D302*E302</f>
        <v>39362.16</v>
      </c>
      <c r="G302" s="21" t="n">
        <v>24618.04</v>
      </c>
      <c r="H302" s="21" t="n">
        <f aca="false">F302-G302</f>
        <v>14744.12</v>
      </c>
      <c r="I302" s="20" t="n">
        <v>20</v>
      </c>
      <c r="J302" s="21" t="n">
        <f aca="false">F302-I302*E302</f>
        <v>37398.96</v>
      </c>
    </row>
    <row r="303" customFormat="false" ht="15" hidden="false" customHeight="false" outlineLevel="0" collapsed="false">
      <c r="A303" s="0" t="s">
        <v>44</v>
      </c>
      <c r="B303" s="0" t="s">
        <v>24</v>
      </c>
      <c r="C303" s="0" t="s">
        <v>26</v>
      </c>
      <c r="D303" s="0" t="n">
        <v>233</v>
      </c>
      <c r="E303" s="22" t="n">
        <v>24.53</v>
      </c>
      <c r="F303" s="22" t="n">
        <f aca="false">D303*E303</f>
        <v>5715.49</v>
      </c>
      <c r="G303" s="22" t="n">
        <v>2680.4</v>
      </c>
      <c r="H303" s="22" t="n">
        <f aca="false">F303-G303</f>
        <v>3035.09</v>
      </c>
      <c r="I303" s="0" t="n">
        <v>1</v>
      </c>
      <c r="J303" s="22" t="n">
        <f aca="false">F303-I303*E303</f>
        <v>5690.96</v>
      </c>
    </row>
    <row r="304" customFormat="false" ht="15" hidden="false" customHeight="false" outlineLevel="0" collapsed="false">
      <c r="A304" s="20" t="s">
        <v>44</v>
      </c>
      <c r="B304" s="20" t="s">
        <v>24</v>
      </c>
      <c r="C304" s="20" t="s">
        <v>27</v>
      </c>
      <c r="D304" s="20" t="n">
        <v>484</v>
      </c>
      <c r="E304" s="21" t="n">
        <v>207.81</v>
      </c>
      <c r="F304" s="21" t="n">
        <f aca="false">D304*E304</f>
        <v>100580.04</v>
      </c>
      <c r="G304" s="21" t="n">
        <v>42537.15</v>
      </c>
      <c r="H304" s="21" t="n">
        <f aca="false">F304-G304</f>
        <v>58042.89</v>
      </c>
      <c r="I304" s="20" t="n">
        <v>6</v>
      </c>
      <c r="J304" s="21" t="n">
        <f aca="false">F304-I304*E304</f>
        <v>99333.18</v>
      </c>
    </row>
    <row r="305" customFormat="false" ht="15" hidden="false" customHeight="false" outlineLevel="0" collapsed="false">
      <c r="A305" s="0" t="s">
        <v>44</v>
      </c>
      <c r="B305" s="0" t="s">
        <v>24</v>
      </c>
      <c r="C305" s="0" t="s">
        <v>28</v>
      </c>
      <c r="D305" s="0" t="n">
        <v>378</v>
      </c>
      <c r="E305" s="22" t="n">
        <v>163.48</v>
      </c>
      <c r="F305" s="22" t="n">
        <f aca="false">D305*E305</f>
        <v>61795.44</v>
      </c>
      <c r="G305" s="22" t="n">
        <v>39720.46</v>
      </c>
      <c r="H305" s="22" t="n">
        <f aca="false">F305-G305</f>
        <v>22074.98</v>
      </c>
      <c r="I305" s="0" t="n">
        <v>1</v>
      </c>
      <c r="J305" s="22" t="n">
        <f aca="false">F305-I305*E305</f>
        <v>61631.96</v>
      </c>
    </row>
    <row r="306" customFormat="false" ht="15" hidden="false" customHeight="false" outlineLevel="0" collapsed="false">
      <c r="A306" s="20" t="s">
        <v>44</v>
      </c>
      <c r="B306" s="20" t="s">
        <v>24</v>
      </c>
      <c r="C306" s="20" t="s">
        <v>29</v>
      </c>
      <c r="D306" s="20" t="n">
        <v>452</v>
      </c>
      <c r="E306" s="21" t="n">
        <v>90.04</v>
      </c>
      <c r="F306" s="21" t="n">
        <f aca="false">D306*E306</f>
        <v>40698.08</v>
      </c>
      <c r="G306" s="21" t="n">
        <v>26340.01</v>
      </c>
      <c r="H306" s="21" t="n">
        <f aca="false">F306-G306</f>
        <v>14358.07</v>
      </c>
      <c r="I306" s="20" t="n">
        <v>18</v>
      </c>
      <c r="J306" s="21" t="n">
        <f aca="false">F306-I306*E306</f>
        <v>39077.36</v>
      </c>
    </row>
    <row r="307" customFormat="false" ht="15" hidden="false" customHeight="false" outlineLevel="0" collapsed="false">
      <c r="A307" s="0" t="s">
        <v>44</v>
      </c>
      <c r="B307" s="0" t="s">
        <v>30</v>
      </c>
      <c r="C307" s="0" t="s">
        <v>25</v>
      </c>
      <c r="D307" s="0" t="n">
        <v>155</v>
      </c>
      <c r="E307" s="22" t="n">
        <v>26.47</v>
      </c>
      <c r="F307" s="22" t="n">
        <f aca="false">D307*E307</f>
        <v>4102.85</v>
      </c>
      <c r="G307" s="22" t="n">
        <v>2425.97</v>
      </c>
      <c r="H307" s="22" t="n">
        <f aca="false">F307-G307</f>
        <v>1676.88</v>
      </c>
      <c r="I307" s="0" t="n">
        <v>3</v>
      </c>
      <c r="J307" s="22" t="n">
        <f aca="false">F307-I307*E307</f>
        <v>4023.44</v>
      </c>
    </row>
    <row r="308" customFormat="false" ht="15" hidden="false" customHeight="false" outlineLevel="0" collapsed="false">
      <c r="A308" s="20" t="s">
        <v>44</v>
      </c>
      <c r="B308" s="20" t="s">
        <v>30</v>
      </c>
      <c r="C308" s="20" t="s">
        <v>26</v>
      </c>
      <c r="D308" s="20" t="n">
        <v>350</v>
      </c>
      <c r="E308" s="21" t="n">
        <v>61.83</v>
      </c>
      <c r="F308" s="21" t="n">
        <f aca="false">D308*E308</f>
        <v>21640.5</v>
      </c>
      <c r="G308" s="21" t="n">
        <v>13361.36</v>
      </c>
      <c r="H308" s="21" t="n">
        <f aca="false">F308-G308</f>
        <v>8279.14</v>
      </c>
      <c r="I308" s="20" t="n">
        <v>10</v>
      </c>
      <c r="J308" s="21" t="n">
        <f aca="false">F308-I308*E308</f>
        <v>21022.2</v>
      </c>
    </row>
    <row r="309" customFormat="false" ht="15" hidden="false" customHeight="false" outlineLevel="0" collapsed="false">
      <c r="A309" s="0" t="s">
        <v>44</v>
      </c>
      <c r="B309" s="0" t="s">
        <v>30</v>
      </c>
      <c r="C309" s="0" t="s">
        <v>27</v>
      </c>
      <c r="D309" s="0" t="n">
        <v>446</v>
      </c>
      <c r="E309" s="22" t="n">
        <v>45.41</v>
      </c>
      <c r="F309" s="22" t="n">
        <f aca="false">D309*E309</f>
        <v>20252.86</v>
      </c>
      <c r="G309" s="22" t="n">
        <v>12660.73</v>
      </c>
      <c r="H309" s="22" t="n">
        <f aca="false">F309-G309</f>
        <v>7592.13</v>
      </c>
      <c r="I309" s="0" t="n">
        <v>0</v>
      </c>
      <c r="J309" s="22" t="n">
        <f aca="false">F309-I309*E309</f>
        <v>20252.86</v>
      </c>
    </row>
    <row r="310" customFormat="false" ht="15" hidden="false" customHeight="false" outlineLevel="0" collapsed="false">
      <c r="A310" s="20" t="s">
        <v>44</v>
      </c>
      <c r="B310" s="20" t="s">
        <v>30</v>
      </c>
      <c r="C310" s="20" t="s">
        <v>28</v>
      </c>
      <c r="D310" s="20" t="n">
        <v>191</v>
      </c>
      <c r="E310" s="21" t="n">
        <v>216.02</v>
      </c>
      <c r="F310" s="21" t="n">
        <f aca="false">D310*E310</f>
        <v>41259.82</v>
      </c>
      <c r="G310" s="21" t="n">
        <v>17996.38</v>
      </c>
      <c r="H310" s="21" t="n">
        <f aca="false">F310-G310</f>
        <v>23263.44</v>
      </c>
      <c r="I310" s="20" t="n">
        <v>2</v>
      </c>
      <c r="J310" s="21" t="n">
        <f aca="false">F310-I310*E310</f>
        <v>40827.78</v>
      </c>
    </row>
    <row r="311" customFormat="false" ht="15" hidden="false" customHeight="false" outlineLevel="0" collapsed="false">
      <c r="A311" s="0" t="s">
        <v>44</v>
      </c>
      <c r="B311" s="0" t="s">
        <v>30</v>
      </c>
      <c r="C311" s="0" t="s">
        <v>29</v>
      </c>
      <c r="D311" s="0" t="n">
        <v>326</v>
      </c>
      <c r="E311" s="22" t="n">
        <v>70.16</v>
      </c>
      <c r="F311" s="22" t="n">
        <f aca="false">D311*E311</f>
        <v>22872.16</v>
      </c>
      <c r="G311" s="22" t="n">
        <v>10146.65</v>
      </c>
      <c r="H311" s="22" t="n">
        <f aca="false">F311-G311</f>
        <v>12725.51</v>
      </c>
      <c r="I311" s="0" t="n">
        <v>0</v>
      </c>
      <c r="J311" s="22" t="n">
        <f aca="false">F311-I311*E311</f>
        <v>22872.16</v>
      </c>
    </row>
    <row r="312" customFormat="false" ht="15" hidden="false" customHeight="false" outlineLevel="0" collapsed="false">
      <c r="A312" s="20" t="s">
        <v>44</v>
      </c>
      <c r="B312" s="20" t="s">
        <v>31</v>
      </c>
      <c r="C312" s="20" t="s">
        <v>25</v>
      </c>
      <c r="D312" s="20" t="n">
        <v>117</v>
      </c>
      <c r="E312" s="21" t="n">
        <v>13.57</v>
      </c>
      <c r="F312" s="21" t="n">
        <f aca="false">D312*E312</f>
        <v>1587.69</v>
      </c>
      <c r="G312" s="21" t="n">
        <v>948.64</v>
      </c>
      <c r="H312" s="21" t="n">
        <f aca="false">F312-G312</f>
        <v>639.05</v>
      </c>
      <c r="I312" s="20" t="n">
        <v>1</v>
      </c>
      <c r="J312" s="21" t="n">
        <f aca="false">F312-I312*E312</f>
        <v>1574.12</v>
      </c>
    </row>
    <row r="313" customFormat="false" ht="15" hidden="false" customHeight="false" outlineLevel="0" collapsed="false">
      <c r="A313" s="0" t="s">
        <v>44</v>
      </c>
      <c r="B313" s="0" t="s">
        <v>31</v>
      </c>
      <c r="C313" s="0" t="s">
        <v>26</v>
      </c>
      <c r="D313" s="0" t="n">
        <v>351</v>
      </c>
      <c r="E313" s="22" t="n">
        <v>87.71</v>
      </c>
      <c r="F313" s="22" t="n">
        <f aca="false">D313*E313</f>
        <v>30786.21</v>
      </c>
      <c r="G313" s="22" t="n">
        <v>13655.58</v>
      </c>
      <c r="H313" s="22" t="n">
        <f aca="false">F313-G313</f>
        <v>17130.63</v>
      </c>
      <c r="I313" s="0" t="n">
        <v>1</v>
      </c>
      <c r="J313" s="22" t="n">
        <f aca="false">F313-I313*E313</f>
        <v>30698.5</v>
      </c>
    </row>
    <row r="314" customFormat="false" ht="15" hidden="false" customHeight="false" outlineLevel="0" collapsed="false">
      <c r="A314" s="20" t="s">
        <v>44</v>
      </c>
      <c r="B314" s="20" t="s">
        <v>31</v>
      </c>
      <c r="C314" s="20" t="s">
        <v>27</v>
      </c>
      <c r="D314" s="20" t="n">
        <v>114</v>
      </c>
      <c r="E314" s="21" t="n">
        <v>188.01</v>
      </c>
      <c r="F314" s="21" t="n">
        <f aca="false">D314*E314</f>
        <v>21433.14</v>
      </c>
      <c r="G314" s="21" t="n">
        <v>11392.17</v>
      </c>
      <c r="H314" s="21" t="n">
        <f aca="false">F314-G314</f>
        <v>10040.97</v>
      </c>
      <c r="I314" s="20" t="n">
        <v>5</v>
      </c>
      <c r="J314" s="21" t="n">
        <f aca="false">F314-I314*E314</f>
        <v>20493.09</v>
      </c>
    </row>
    <row r="315" customFormat="false" ht="15" hidden="false" customHeight="false" outlineLevel="0" collapsed="false">
      <c r="A315" s="0" t="s">
        <v>44</v>
      </c>
      <c r="B315" s="0" t="s">
        <v>31</v>
      </c>
      <c r="C315" s="0" t="s">
        <v>28</v>
      </c>
      <c r="D315" s="0" t="n">
        <v>82</v>
      </c>
      <c r="E315" s="22" t="n">
        <v>124.3</v>
      </c>
      <c r="F315" s="22" t="n">
        <f aca="false">D315*E315</f>
        <v>10192.6</v>
      </c>
      <c r="G315" s="22" t="n">
        <v>6059.54</v>
      </c>
      <c r="H315" s="22" t="n">
        <f aca="false">F315-G315</f>
        <v>4133.06</v>
      </c>
      <c r="I315" s="0" t="n">
        <v>4</v>
      </c>
      <c r="J315" s="22" t="n">
        <f aca="false">F315-I315*E315</f>
        <v>9695.4</v>
      </c>
    </row>
    <row r="316" customFormat="false" ht="15" hidden="false" customHeight="false" outlineLevel="0" collapsed="false">
      <c r="A316" s="20" t="s">
        <v>44</v>
      </c>
      <c r="B316" s="20" t="s">
        <v>31</v>
      </c>
      <c r="C316" s="20" t="s">
        <v>29</v>
      </c>
      <c r="D316" s="20" t="n">
        <v>353</v>
      </c>
      <c r="E316" s="21" t="n">
        <v>36.17</v>
      </c>
      <c r="F316" s="21" t="n">
        <f aca="false">D316*E316</f>
        <v>12768.01</v>
      </c>
      <c r="G316" s="21" t="n">
        <v>6715.46</v>
      </c>
      <c r="H316" s="21" t="n">
        <f aca="false">F316-G316</f>
        <v>6052.55</v>
      </c>
      <c r="I316" s="20" t="n">
        <v>1</v>
      </c>
      <c r="J316" s="21" t="n">
        <f aca="false">F316-I316*E316</f>
        <v>12731.84</v>
      </c>
    </row>
    <row r="317" customFormat="false" ht="15" hidden="false" customHeight="false" outlineLevel="0" collapsed="false">
      <c r="A317" s="0" t="s">
        <v>44</v>
      </c>
      <c r="B317" s="0" t="s">
        <v>32</v>
      </c>
      <c r="C317" s="0" t="s">
        <v>25</v>
      </c>
      <c r="D317" s="0" t="n">
        <v>422</v>
      </c>
      <c r="E317" s="22" t="n">
        <v>197.97</v>
      </c>
      <c r="F317" s="22" t="n">
        <f aca="false">D317*E317</f>
        <v>83543.34</v>
      </c>
      <c r="G317" s="22" t="n">
        <v>51524.96</v>
      </c>
      <c r="H317" s="22" t="n">
        <f aca="false">F317-G317</f>
        <v>32018.38</v>
      </c>
      <c r="I317" s="0" t="n">
        <v>16</v>
      </c>
      <c r="J317" s="22" t="n">
        <f aca="false">F317-I317*E317</f>
        <v>80375.82</v>
      </c>
    </row>
    <row r="318" customFormat="false" ht="15" hidden="false" customHeight="false" outlineLevel="0" collapsed="false">
      <c r="A318" s="20" t="s">
        <v>44</v>
      </c>
      <c r="B318" s="20" t="s">
        <v>32</v>
      </c>
      <c r="C318" s="20" t="s">
        <v>26</v>
      </c>
      <c r="D318" s="20" t="n">
        <v>204</v>
      </c>
      <c r="E318" s="21" t="n">
        <v>119.93</v>
      </c>
      <c r="F318" s="21" t="n">
        <f aca="false">D318*E318</f>
        <v>24465.72</v>
      </c>
      <c r="G318" s="21" t="n">
        <v>15682.69</v>
      </c>
      <c r="H318" s="21" t="n">
        <f aca="false">F318-G318</f>
        <v>8783.03</v>
      </c>
      <c r="I318" s="20" t="n">
        <v>0</v>
      </c>
      <c r="J318" s="21" t="n">
        <f aca="false">F318-I318*E318</f>
        <v>24465.72</v>
      </c>
    </row>
    <row r="319" customFormat="false" ht="15" hidden="false" customHeight="false" outlineLevel="0" collapsed="false">
      <c r="A319" s="0" t="s">
        <v>44</v>
      </c>
      <c r="B319" s="0" t="s">
        <v>32</v>
      </c>
      <c r="C319" s="0" t="s">
        <v>27</v>
      </c>
      <c r="D319" s="0" t="n">
        <v>295</v>
      </c>
      <c r="E319" s="22" t="n">
        <v>213.35</v>
      </c>
      <c r="F319" s="22" t="n">
        <f aca="false">D319*E319</f>
        <v>62938.25</v>
      </c>
      <c r="G319" s="22" t="n">
        <v>31882.53</v>
      </c>
      <c r="H319" s="22" t="n">
        <f aca="false">F319-G319</f>
        <v>31055.72</v>
      </c>
      <c r="I319" s="0" t="n">
        <v>1</v>
      </c>
      <c r="J319" s="22" t="n">
        <f aca="false">F319-I319*E319</f>
        <v>62724.9</v>
      </c>
    </row>
    <row r="320" customFormat="false" ht="15" hidden="false" customHeight="false" outlineLevel="0" collapsed="false">
      <c r="A320" s="20" t="s">
        <v>44</v>
      </c>
      <c r="B320" s="20" t="s">
        <v>32</v>
      </c>
      <c r="C320" s="20" t="s">
        <v>28</v>
      </c>
      <c r="D320" s="20" t="n">
        <v>301</v>
      </c>
      <c r="E320" s="21" t="n">
        <v>180.98</v>
      </c>
      <c r="F320" s="21" t="n">
        <f aca="false">D320*E320</f>
        <v>54474.98</v>
      </c>
      <c r="G320" s="21" t="n">
        <v>27830.75</v>
      </c>
      <c r="H320" s="21" t="n">
        <f aca="false">F320-G320</f>
        <v>26644.23</v>
      </c>
      <c r="I320" s="20" t="n">
        <v>2</v>
      </c>
      <c r="J320" s="21" t="n">
        <f aca="false">F320-I320*E320</f>
        <v>54113.02</v>
      </c>
    </row>
    <row r="321" customFormat="false" ht="15" hidden="false" customHeight="false" outlineLevel="0" collapsed="false">
      <c r="A321" s="0" t="s">
        <v>44</v>
      </c>
      <c r="B321" s="0" t="s">
        <v>32</v>
      </c>
      <c r="C321" s="0" t="s">
        <v>29</v>
      </c>
      <c r="D321" s="0" t="n">
        <v>214</v>
      </c>
      <c r="E321" s="22" t="n">
        <v>155.99</v>
      </c>
      <c r="F321" s="22" t="n">
        <f aca="false">D321*E321</f>
        <v>33381.86</v>
      </c>
      <c r="G321" s="22" t="n">
        <v>13900.89</v>
      </c>
      <c r="H321" s="22" t="n">
        <f aca="false">F321-G321</f>
        <v>19480.97</v>
      </c>
      <c r="I321" s="0" t="n">
        <v>4</v>
      </c>
      <c r="J321" s="22" t="n">
        <f aca="false">F321-I321*E321</f>
        <v>32757.9</v>
      </c>
    </row>
    <row r="322" customFormat="false" ht="15" hidden="false" customHeight="false" outlineLevel="0" collapsed="false">
      <c r="A322" s="20" t="s">
        <v>44</v>
      </c>
      <c r="B322" s="20" t="s">
        <v>33</v>
      </c>
      <c r="C322" s="20" t="s">
        <v>25</v>
      </c>
      <c r="D322" s="20" t="n">
        <v>369</v>
      </c>
      <c r="E322" s="21" t="n">
        <v>161.94</v>
      </c>
      <c r="F322" s="21" t="n">
        <f aca="false">D322*E322</f>
        <v>59755.86</v>
      </c>
      <c r="G322" s="21" t="n">
        <v>32094.22</v>
      </c>
      <c r="H322" s="21" t="n">
        <f aca="false">F322-G322</f>
        <v>27661.64</v>
      </c>
      <c r="I322" s="20" t="n">
        <v>10</v>
      </c>
      <c r="J322" s="21" t="n">
        <f aca="false">F322-I322*E322</f>
        <v>58136.46</v>
      </c>
    </row>
    <row r="323" customFormat="false" ht="15" hidden="false" customHeight="false" outlineLevel="0" collapsed="false">
      <c r="A323" s="0" t="s">
        <v>44</v>
      </c>
      <c r="B323" s="0" t="s">
        <v>33</v>
      </c>
      <c r="C323" s="0" t="s">
        <v>26</v>
      </c>
      <c r="D323" s="0" t="n">
        <v>245</v>
      </c>
      <c r="E323" s="22" t="n">
        <v>248.71</v>
      </c>
      <c r="F323" s="22" t="n">
        <f aca="false">D323*E323</f>
        <v>60933.95</v>
      </c>
      <c r="G323" s="22" t="n">
        <v>32455.81</v>
      </c>
      <c r="H323" s="22" t="n">
        <f aca="false">F323-G323</f>
        <v>28478.14</v>
      </c>
      <c r="I323" s="0" t="n">
        <v>7</v>
      </c>
      <c r="J323" s="22" t="n">
        <f aca="false">F323-I323*E323</f>
        <v>59192.98</v>
      </c>
    </row>
    <row r="324" customFormat="false" ht="15" hidden="false" customHeight="false" outlineLevel="0" collapsed="false">
      <c r="A324" s="20" t="s">
        <v>44</v>
      </c>
      <c r="B324" s="20" t="s">
        <v>33</v>
      </c>
      <c r="C324" s="20" t="s">
        <v>27</v>
      </c>
      <c r="D324" s="20" t="n">
        <v>308</v>
      </c>
      <c r="E324" s="21" t="n">
        <v>155.3</v>
      </c>
      <c r="F324" s="21" t="n">
        <f aca="false">D324*E324</f>
        <v>47832.4</v>
      </c>
      <c r="G324" s="21" t="n">
        <v>20318.95</v>
      </c>
      <c r="H324" s="21" t="n">
        <f aca="false">F324-G324</f>
        <v>27513.45</v>
      </c>
      <c r="I324" s="20" t="n">
        <v>3</v>
      </c>
      <c r="J324" s="21" t="n">
        <f aca="false">F324-I324*E324</f>
        <v>47366.5</v>
      </c>
    </row>
    <row r="325" customFormat="false" ht="15" hidden="false" customHeight="false" outlineLevel="0" collapsed="false">
      <c r="A325" s="0" t="s">
        <v>44</v>
      </c>
      <c r="B325" s="0" t="s">
        <v>33</v>
      </c>
      <c r="C325" s="0" t="s">
        <v>28</v>
      </c>
      <c r="D325" s="0" t="n">
        <v>486</v>
      </c>
      <c r="E325" s="22" t="n">
        <v>167.13</v>
      </c>
      <c r="F325" s="22" t="n">
        <f aca="false">D325*E325</f>
        <v>81225.18</v>
      </c>
      <c r="G325" s="22" t="n">
        <v>50313.03</v>
      </c>
      <c r="H325" s="22" t="n">
        <f aca="false">F325-G325</f>
        <v>30912.15</v>
      </c>
      <c r="I325" s="0" t="n">
        <v>17</v>
      </c>
      <c r="J325" s="22" t="n">
        <f aca="false">F325-I325*E325</f>
        <v>78383.97</v>
      </c>
    </row>
    <row r="326" customFormat="false" ht="15" hidden="false" customHeight="false" outlineLevel="0" collapsed="false">
      <c r="A326" s="20" t="s">
        <v>44</v>
      </c>
      <c r="B326" s="20" t="s">
        <v>33</v>
      </c>
      <c r="C326" s="20" t="s">
        <v>29</v>
      </c>
      <c r="D326" s="20" t="n">
        <v>419</v>
      </c>
      <c r="E326" s="21" t="n">
        <v>217.72</v>
      </c>
      <c r="F326" s="21" t="n">
        <f aca="false">D326*E326</f>
        <v>91224.68</v>
      </c>
      <c r="G326" s="21" t="n">
        <v>46298.12</v>
      </c>
      <c r="H326" s="21" t="n">
        <f aca="false">F326-G326</f>
        <v>44926.56</v>
      </c>
      <c r="I326" s="20" t="n">
        <v>7</v>
      </c>
      <c r="J326" s="21" t="n">
        <f aca="false">F326-I326*E326</f>
        <v>89700.64</v>
      </c>
    </row>
    <row r="327" customFormat="false" ht="15" hidden="false" customHeight="false" outlineLevel="0" collapsed="false">
      <c r="A327" s="0" t="s">
        <v>44</v>
      </c>
      <c r="B327" s="0" t="s">
        <v>34</v>
      </c>
      <c r="C327" s="0" t="s">
        <v>25</v>
      </c>
      <c r="D327" s="0" t="n">
        <v>261</v>
      </c>
      <c r="E327" s="22" t="n">
        <v>91.34</v>
      </c>
      <c r="F327" s="22" t="n">
        <f aca="false">D327*E327</f>
        <v>23839.74</v>
      </c>
      <c r="G327" s="22" t="n">
        <v>12238.72</v>
      </c>
      <c r="H327" s="22" t="n">
        <f aca="false">F327-G327</f>
        <v>11601.02</v>
      </c>
      <c r="I327" s="0" t="n">
        <v>6</v>
      </c>
      <c r="J327" s="22" t="n">
        <f aca="false">F327-I327*E327</f>
        <v>23291.7</v>
      </c>
    </row>
    <row r="328" customFormat="false" ht="15" hidden="false" customHeight="false" outlineLevel="0" collapsed="false">
      <c r="A328" s="20" t="s">
        <v>44</v>
      </c>
      <c r="B328" s="20" t="s">
        <v>34</v>
      </c>
      <c r="C328" s="20" t="s">
        <v>26</v>
      </c>
      <c r="D328" s="20" t="n">
        <v>423</v>
      </c>
      <c r="E328" s="21" t="n">
        <v>32.82</v>
      </c>
      <c r="F328" s="21" t="n">
        <f aca="false">D328*E328</f>
        <v>13882.86</v>
      </c>
      <c r="G328" s="21" t="n">
        <v>7034.32</v>
      </c>
      <c r="H328" s="21" t="n">
        <f aca="false">F328-G328</f>
        <v>6848.54</v>
      </c>
      <c r="I328" s="20" t="n">
        <v>21</v>
      </c>
      <c r="J328" s="21" t="n">
        <f aca="false">F328-I328*E328</f>
        <v>13193.64</v>
      </c>
    </row>
    <row r="329" customFormat="false" ht="15" hidden="false" customHeight="false" outlineLevel="0" collapsed="false">
      <c r="A329" s="0" t="s">
        <v>44</v>
      </c>
      <c r="B329" s="0" t="s">
        <v>34</v>
      </c>
      <c r="C329" s="0" t="s">
        <v>27</v>
      </c>
      <c r="D329" s="0" t="n">
        <v>180</v>
      </c>
      <c r="E329" s="22" t="n">
        <v>99.83</v>
      </c>
      <c r="F329" s="22" t="n">
        <f aca="false">D329*E329</f>
        <v>17969.4</v>
      </c>
      <c r="G329" s="22" t="n">
        <v>7873.47</v>
      </c>
      <c r="H329" s="22" t="n">
        <f aca="false">F329-G329</f>
        <v>10095.93</v>
      </c>
      <c r="I329" s="0" t="n">
        <v>7</v>
      </c>
      <c r="J329" s="22" t="n">
        <f aca="false">F329-I329*E329</f>
        <v>17270.59</v>
      </c>
    </row>
    <row r="330" customFormat="false" ht="15" hidden="false" customHeight="false" outlineLevel="0" collapsed="false">
      <c r="A330" s="20" t="s">
        <v>44</v>
      </c>
      <c r="B330" s="20" t="s">
        <v>34</v>
      </c>
      <c r="C330" s="20" t="s">
        <v>28</v>
      </c>
      <c r="D330" s="20" t="n">
        <v>84</v>
      </c>
      <c r="E330" s="21" t="n">
        <v>31.89</v>
      </c>
      <c r="F330" s="21" t="n">
        <f aca="false">D330*E330</f>
        <v>2678.76</v>
      </c>
      <c r="G330" s="21" t="n">
        <v>1128.67</v>
      </c>
      <c r="H330" s="21" t="n">
        <f aca="false">F330-G330</f>
        <v>1550.09</v>
      </c>
      <c r="I330" s="20" t="n">
        <v>3</v>
      </c>
      <c r="J330" s="21" t="n">
        <f aca="false">F330-I330*E330</f>
        <v>2583.09</v>
      </c>
    </row>
    <row r="331" customFormat="false" ht="15" hidden="false" customHeight="false" outlineLevel="0" collapsed="false">
      <c r="A331" s="0" t="s">
        <v>44</v>
      </c>
      <c r="B331" s="0" t="s">
        <v>34</v>
      </c>
      <c r="C331" s="0" t="s">
        <v>29</v>
      </c>
      <c r="D331" s="0" t="n">
        <v>99</v>
      </c>
      <c r="E331" s="22" t="n">
        <v>188.7</v>
      </c>
      <c r="F331" s="22" t="n">
        <f aca="false">D331*E331</f>
        <v>18681.3</v>
      </c>
      <c r="G331" s="22" t="n">
        <v>9212.9</v>
      </c>
      <c r="H331" s="22" t="n">
        <f aca="false">F331-G331</f>
        <v>9468.4</v>
      </c>
      <c r="I331" s="0" t="n">
        <v>1</v>
      </c>
      <c r="J331" s="22" t="n">
        <f aca="false">F331-I331*E331</f>
        <v>18492.6</v>
      </c>
    </row>
    <row r="332" customFormat="false" ht="15" hidden="false" customHeight="false" outlineLevel="0" collapsed="false">
      <c r="A332" s="20" t="s">
        <v>45</v>
      </c>
      <c r="B332" s="20" t="s">
        <v>24</v>
      </c>
      <c r="C332" s="20" t="s">
        <v>25</v>
      </c>
      <c r="D332" s="20" t="n">
        <v>334</v>
      </c>
      <c r="E332" s="21" t="n">
        <v>24.4</v>
      </c>
      <c r="F332" s="21" t="n">
        <f aca="false">D332*E332</f>
        <v>8149.6</v>
      </c>
      <c r="G332" s="21" t="n">
        <v>5208.87</v>
      </c>
      <c r="H332" s="21" t="n">
        <f aca="false">F332-G332</f>
        <v>2940.73</v>
      </c>
      <c r="I332" s="20" t="n">
        <v>10</v>
      </c>
      <c r="J332" s="21" t="n">
        <f aca="false">F332-I332*E332</f>
        <v>7905.6</v>
      </c>
    </row>
    <row r="333" customFormat="false" ht="15" hidden="false" customHeight="false" outlineLevel="0" collapsed="false">
      <c r="A333" s="0" t="s">
        <v>45</v>
      </c>
      <c r="B333" s="0" t="s">
        <v>24</v>
      </c>
      <c r="C333" s="0" t="s">
        <v>26</v>
      </c>
      <c r="D333" s="0" t="n">
        <v>393</v>
      </c>
      <c r="E333" s="22" t="n">
        <v>39.34</v>
      </c>
      <c r="F333" s="22" t="n">
        <f aca="false">D333*E333</f>
        <v>15460.62</v>
      </c>
      <c r="G333" s="22" t="n">
        <v>7550.96</v>
      </c>
      <c r="H333" s="22" t="n">
        <f aca="false">F333-G333</f>
        <v>7909.66</v>
      </c>
      <c r="I333" s="0" t="n">
        <v>13</v>
      </c>
      <c r="J333" s="22" t="n">
        <f aca="false">F333-I333*E333</f>
        <v>14949.2</v>
      </c>
    </row>
    <row r="334" customFormat="false" ht="15" hidden="false" customHeight="false" outlineLevel="0" collapsed="false">
      <c r="A334" s="20" t="s">
        <v>45</v>
      </c>
      <c r="B334" s="20" t="s">
        <v>24</v>
      </c>
      <c r="C334" s="20" t="s">
        <v>27</v>
      </c>
      <c r="D334" s="20" t="n">
        <v>494</v>
      </c>
      <c r="E334" s="21" t="n">
        <v>229.8</v>
      </c>
      <c r="F334" s="21" t="n">
        <f aca="false">D334*E334</f>
        <v>113521.2</v>
      </c>
      <c r="G334" s="21" t="n">
        <v>46868.54</v>
      </c>
      <c r="H334" s="21" t="n">
        <f aca="false">F334-G334</f>
        <v>66652.66</v>
      </c>
      <c r="I334" s="20" t="n">
        <v>9</v>
      </c>
      <c r="J334" s="21" t="n">
        <f aca="false">F334-I334*E334</f>
        <v>111453</v>
      </c>
    </row>
    <row r="335" customFormat="false" ht="15" hidden="false" customHeight="false" outlineLevel="0" collapsed="false">
      <c r="A335" s="0" t="s">
        <v>45</v>
      </c>
      <c r="B335" s="0" t="s">
        <v>24</v>
      </c>
      <c r="C335" s="0" t="s">
        <v>28</v>
      </c>
      <c r="D335" s="0" t="n">
        <v>357</v>
      </c>
      <c r="E335" s="22" t="n">
        <v>84.99</v>
      </c>
      <c r="F335" s="22" t="n">
        <f aca="false">D335*E335</f>
        <v>30341.43</v>
      </c>
      <c r="G335" s="22" t="n">
        <v>12922.42</v>
      </c>
      <c r="H335" s="22" t="n">
        <f aca="false">F335-G335</f>
        <v>17419.01</v>
      </c>
      <c r="I335" s="0" t="n">
        <v>16</v>
      </c>
      <c r="J335" s="22" t="n">
        <f aca="false">F335-I335*E335</f>
        <v>28981.59</v>
      </c>
    </row>
    <row r="336" customFormat="false" ht="15" hidden="false" customHeight="false" outlineLevel="0" collapsed="false">
      <c r="A336" s="20" t="s">
        <v>45</v>
      </c>
      <c r="B336" s="20" t="s">
        <v>24</v>
      </c>
      <c r="C336" s="20" t="s">
        <v>29</v>
      </c>
      <c r="D336" s="20" t="n">
        <v>158</v>
      </c>
      <c r="E336" s="21" t="n">
        <v>47.14</v>
      </c>
      <c r="F336" s="21" t="n">
        <f aca="false">D336*E336</f>
        <v>7448.12</v>
      </c>
      <c r="G336" s="21" t="n">
        <v>3877.1</v>
      </c>
      <c r="H336" s="21" t="n">
        <f aca="false">F336-G336</f>
        <v>3571.02</v>
      </c>
      <c r="I336" s="20" t="n">
        <v>1</v>
      </c>
      <c r="J336" s="21" t="n">
        <f aca="false">F336-I336*E336</f>
        <v>7400.98</v>
      </c>
    </row>
    <row r="337" customFormat="false" ht="15" hidden="false" customHeight="false" outlineLevel="0" collapsed="false">
      <c r="A337" s="0" t="s">
        <v>45</v>
      </c>
      <c r="B337" s="0" t="s">
        <v>30</v>
      </c>
      <c r="C337" s="0" t="s">
        <v>25</v>
      </c>
      <c r="D337" s="0" t="n">
        <v>229</v>
      </c>
      <c r="E337" s="22" t="n">
        <v>212.89</v>
      </c>
      <c r="F337" s="22" t="n">
        <f aca="false">D337*E337</f>
        <v>48751.81</v>
      </c>
      <c r="G337" s="22" t="n">
        <v>23980.54</v>
      </c>
      <c r="H337" s="22" t="n">
        <f aca="false">F337-G337</f>
        <v>24771.27</v>
      </c>
      <c r="I337" s="0" t="n">
        <v>4</v>
      </c>
      <c r="J337" s="22" t="n">
        <f aca="false">F337-I337*E337</f>
        <v>47900.25</v>
      </c>
    </row>
    <row r="338" customFormat="false" ht="15" hidden="false" customHeight="false" outlineLevel="0" collapsed="false">
      <c r="A338" s="20" t="s">
        <v>45</v>
      </c>
      <c r="B338" s="20" t="s">
        <v>30</v>
      </c>
      <c r="C338" s="20" t="s">
        <v>26</v>
      </c>
      <c r="D338" s="20" t="n">
        <v>343</v>
      </c>
      <c r="E338" s="21" t="n">
        <v>64.28</v>
      </c>
      <c r="F338" s="21" t="n">
        <f aca="false">D338*E338</f>
        <v>22048.04</v>
      </c>
      <c r="G338" s="21" t="n">
        <v>11184.49</v>
      </c>
      <c r="H338" s="21" t="n">
        <f aca="false">F338-G338</f>
        <v>10863.55</v>
      </c>
      <c r="I338" s="20" t="n">
        <v>17</v>
      </c>
      <c r="J338" s="21" t="n">
        <f aca="false">F338-I338*E338</f>
        <v>20955.28</v>
      </c>
    </row>
    <row r="339" customFormat="false" ht="15" hidden="false" customHeight="false" outlineLevel="0" collapsed="false">
      <c r="A339" s="0" t="s">
        <v>45</v>
      </c>
      <c r="B339" s="0" t="s">
        <v>30</v>
      </c>
      <c r="C339" s="0" t="s">
        <v>27</v>
      </c>
      <c r="D339" s="0" t="n">
        <v>442</v>
      </c>
      <c r="E339" s="22" t="n">
        <v>206.42</v>
      </c>
      <c r="F339" s="22" t="n">
        <f aca="false">D339*E339</f>
        <v>91237.64</v>
      </c>
      <c r="G339" s="22" t="n">
        <v>50490.3</v>
      </c>
      <c r="H339" s="22" t="n">
        <f aca="false">F339-G339</f>
        <v>40747.34</v>
      </c>
      <c r="I339" s="0" t="n">
        <v>20</v>
      </c>
      <c r="J339" s="22" t="n">
        <f aca="false">F339-I339*E339</f>
        <v>87109.24</v>
      </c>
    </row>
    <row r="340" customFormat="false" ht="15" hidden="false" customHeight="false" outlineLevel="0" collapsed="false">
      <c r="A340" s="20" t="s">
        <v>45</v>
      </c>
      <c r="B340" s="20" t="s">
        <v>30</v>
      </c>
      <c r="C340" s="20" t="s">
        <v>28</v>
      </c>
      <c r="D340" s="20" t="n">
        <v>335</v>
      </c>
      <c r="E340" s="21" t="n">
        <v>16.3</v>
      </c>
      <c r="F340" s="21" t="n">
        <f aca="false">D340*E340</f>
        <v>5460.5</v>
      </c>
      <c r="G340" s="21" t="n">
        <v>3452.52</v>
      </c>
      <c r="H340" s="21" t="n">
        <f aca="false">F340-G340</f>
        <v>2007.98</v>
      </c>
      <c r="I340" s="20" t="n">
        <v>8</v>
      </c>
      <c r="J340" s="21" t="n">
        <f aca="false">F340-I340*E340</f>
        <v>5330.1</v>
      </c>
    </row>
    <row r="341" customFormat="false" ht="15" hidden="false" customHeight="false" outlineLevel="0" collapsed="false">
      <c r="A341" s="0" t="s">
        <v>45</v>
      </c>
      <c r="B341" s="0" t="s">
        <v>30</v>
      </c>
      <c r="C341" s="0" t="s">
        <v>29</v>
      </c>
      <c r="D341" s="0" t="n">
        <v>64</v>
      </c>
      <c r="E341" s="22" t="n">
        <v>53.3</v>
      </c>
      <c r="F341" s="22" t="n">
        <f aca="false">D341*E341</f>
        <v>3411.2</v>
      </c>
      <c r="G341" s="22" t="n">
        <v>1963.74</v>
      </c>
      <c r="H341" s="22" t="n">
        <f aca="false">F341-G341</f>
        <v>1447.46</v>
      </c>
      <c r="I341" s="0" t="n">
        <v>2</v>
      </c>
      <c r="J341" s="22" t="n">
        <f aca="false">F341-I341*E341</f>
        <v>3304.6</v>
      </c>
    </row>
    <row r="342" customFormat="false" ht="15" hidden="false" customHeight="false" outlineLevel="0" collapsed="false">
      <c r="A342" s="20" t="s">
        <v>45</v>
      </c>
      <c r="B342" s="20" t="s">
        <v>31</v>
      </c>
      <c r="C342" s="20" t="s">
        <v>25</v>
      </c>
      <c r="D342" s="20" t="n">
        <v>223</v>
      </c>
      <c r="E342" s="21" t="n">
        <v>94.25</v>
      </c>
      <c r="F342" s="21" t="n">
        <f aca="false">D342*E342</f>
        <v>21017.75</v>
      </c>
      <c r="G342" s="21" t="n">
        <v>9360.28</v>
      </c>
      <c r="H342" s="21" t="n">
        <f aca="false">F342-G342</f>
        <v>11657.47</v>
      </c>
      <c r="I342" s="20" t="n">
        <v>2</v>
      </c>
      <c r="J342" s="21" t="n">
        <f aca="false">F342-I342*E342</f>
        <v>20829.25</v>
      </c>
    </row>
    <row r="343" customFormat="false" ht="15" hidden="false" customHeight="false" outlineLevel="0" collapsed="false">
      <c r="A343" s="0" t="s">
        <v>45</v>
      </c>
      <c r="B343" s="0" t="s">
        <v>31</v>
      </c>
      <c r="C343" s="0" t="s">
        <v>26</v>
      </c>
      <c r="D343" s="0" t="n">
        <v>339</v>
      </c>
      <c r="E343" s="22" t="n">
        <v>167.76</v>
      </c>
      <c r="F343" s="22" t="n">
        <f aca="false">D343*E343</f>
        <v>56870.64</v>
      </c>
      <c r="G343" s="22" t="n">
        <v>23737.6</v>
      </c>
      <c r="H343" s="22" t="n">
        <f aca="false">F343-G343</f>
        <v>33133.04</v>
      </c>
      <c r="I343" s="0" t="n">
        <v>0</v>
      </c>
      <c r="J343" s="22" t="n">
        <f aca="false">F343-I343*E343</f>
        <v>56870.64</v>
      </c>
    </row>
    <row r="344" customFormat="false" ht="15" hidden="false" customHeight="false" outlineLevel="0" collapsed="false">
      <c r="A344" s="20" t="s">
        <v>45</v>
      </c>
      <c r="B344" s="20" t="s">
        <v>31</v>
      </c>
      <c r="C344" s="20" t="s">
        <v>27</v>
      </c>
      <c r="D344" s="20" t="n">
        <v>96</v>
      </c>
      <c r="E344" s="21" t="n">
        <v>189.07</v>
      </c>
      <c r="F344" s="21" t="n">
        <f aca="false">D344*E344</f>
        <v>18150.72</v>
      </c>
      <c r="G344" s="21" t="n">
        <v>8236.49</v>
      </c>
      <c r="H344" s="21" t="n">
        <f aca="false">F344-G344</f>
        <v>9914.23</v>
      </c>
      <c r="I344" s="20" t="n">
        <v>3</v>
      </c>
      <c r="J344" s="21" t="n">
        <f aca="false">F344-I344*E344</f>
        <v>17583.51</v>
      </c>
    </row>
    <row r="345" customFormat="false" ht="15" hidden="false" customHeight="false" outlineLevel="0" collapsed="false">
      <c r="A345" s="0" t="s">
        <v>45</v>
      </c>
      <c r="B345" s="0" t="s">
        <v>31</v>
      </c>
      <c r="C345" s="0" t="s">
        <v>28</v>
      </c>
      <c r="D345" s="0" t="n">
        <v>282</v>
      </c>
      <c r="E345" s="22" t="n">
        <v>91.82</v>
      </c>
      <c r="F345" s="22" t="n">
        <f aca="false">D345*E345</f>
        <v>25893.24</v>
      </c>
      <c r="G345" s="22" t="n">
        <v>12752.76</v>
      </c>
      <c r="H345" s="22" t="n">
        <f aca="false">F345-G345</f>
        <v>13140.48</v>
      </c>
      <c r="I345" s="0" t="n">
        <v>11</v>
      </c>
      <c r="J345" s="22" t="n">
        <f aca="false">F345-I345*E345</f>
        <v>24883.22</v>
      </c>
    </row>
    <row r="346" customFormat="false" ht="15" hidden="false" customHeight="false" outlineLevel="0" collapsed="false">
      <c r="A346" s="20" t="s">
        <v>45</v>
      </c>
      <c r="B346" s="20" t="s">
        <v>31</v>
      </c>
      <c r="C346" s="20" t="s">
        <v>29</v>
      </c>
      <c r="D346" s="20" t="n">
        <v>216</v>
      </c>
      <c r="E346" s="21" t="n">
        <v>196.44</v>
      </c>
      <c r="F346" s="21" t="n">
        <f aca="false">D346*E346</f>
        <v>42431.04</v>
      </c>
      <c r="G346" s="21" t="n">
        <v>22993.31</v>
      </c>
      <c r="H346" s="21" t="n">
        <f aca="false">F346-G346</f>
        <v>19437.73</v>
      </c>
      <c r="I346" s="20" t="n">
        <v>1</v>
      </c>
      <c r="J346" s="21" t="n">
        <f aca="false">F346-I346*E346</f>
        <v>42234.6</v>
      </c>
    </row>
    <row r="347" customFormat="false" ht="15" hidden="false" customHeight="false" outlineLevel="0" collapsed="false">
      <c r="A347" s="0" t="s">
        <v>45</v>
      </c>
      <c r="B347" s="0" t="s">
        <v>32</v>
      </c>
      <c r="C347" s="0" t="s">
        <v>25</v>
      </c>
      <c r="D347" s="0" t="n">
        <v>76</v>
      </c>
      <c r="E347" s="22" t="n">
        <v>47.34</v>
      </c>
      <c r="F347" s="22" t="n">
        <f aca="false">D347*E347</f>
        <v>3597.84</v>
      </c>
      <c r="G347" s="22" t="n">
        <v>2117.72</v>
      </c>
      <c r="H347" s="22" t="n">
        <f aca="false">F347-G347</f>
        <v>1480.12</v>
      </c>
      <c r="I347" s="0" t="n">
        <v>0</v>
      </c>
      <c r="J347" s="22" t="n">
        <f aca="false">F347-I347*E347</f>
        <v>3597.84</v>
      </c>
    </row>
    <row r="348" customFormat="false" ht="15" hidden="false" customHeight="false" outlineLevel="0" collapsed="false">
      <c r="A348" s="20" t="s">
        <v>45</v>
      </c>
      <c r="B348" s="20" t="s">
        <v>32</v>
      </c>
      <c r="C348" s="20" t="s">
        <v>26</v>
      </c>
      <c r="D348" s="20" t="n">
        <v>395</v>
      </c>
      <c r="E348" s="21" t="n">
        <v>29.58</v>
      </c>
      <c r="F348" s="21" t="n">
        <f aca="false">D348*E348</f>
        <v>11684.1</v>
      </c>
      <c r="G348" s="21" t="n">
        <v>5967.98</v>
      </c>
      <c r="H348" s="21" t="n">
        <f aca="false">F348-G348</f>
        <v>5716.12</v>
      </c>
      <c r="I348" s="20" t="n">
        <v>13</v>
      </c>
      <c r="J348" s="21" t="n">
        <f aca="false">F348-I348*E348</f>
        <v>11299.56</v>
      </c>
    </row>
    <row r="349" customFormat="false" ht="15" hidden="false" customHeight="false" outlineLevel="0" collapsed="false">
      <c r="A349" s="0" t="s">
        <v>45</v>
      </c>
      <c r="B349" s="0" t="s">
        <v>32</v>
      </c>
      <c r="C349" s="0" t="s">
        <v>27</v>
      </c>
      <c r="D349" s="0" t="n">
        <v>298</v>
      </c>
      <c r="E349" s="22" t="n">
        <v>155.7</v>
      </c>
      <c r="F349" s="22" t="n">
        <f aca="false">D349*E349</f>
        <v>46398.6</v>
      </c>
      <c r="G349" s="22" t="n">
        <v>23363.83</v>
      </c>
      <c r="H349" s="22" t="n">
        <f aca="false">F349-G349</f>
        <v>23034.77</v>
      </c>
      <c r="I349" s="0" t="n">
        <v>3</v>
      </c>
      <c r="J349" s="22" t="n">
        <f aca="false">F349-I349*E349</f>
        <v>45931.5</v>
      </c>
    </row>
    <row r="350" customFormat="false" ht="15" hidden="false" customHeight="false" outlineLevel="0" collapsed="false">
      <c r="A350" s="20" t="s">
        <v>45</v>
      </c>
      <c r="B350" s="20" t="s">
        <v>32</v>
      </c>
      <c r="C350" s="20" t="s">
        <v>28</v>
      </c>
      <c r="D350" s="20" t="n">
        <v>436</v>
      </c>
      <c r="E350" s="21" t="n">
        <v>132.96</v>
      </c>
      <c r="F350" s="21" t="n">
        <f aca="false">D350*E350</f>
        <v>57970.56</v>
      </c>
      <c r="G350" s="21" t="n">
        <v>28190.69</v>
      </c>
      <c r="H350" s="21" t="n">
        <f aca="false">F350-G350</f>
        <v>29779.87</v>
      </c>
      <c r="I350" s="20" t="n">
        <v>3</v>
      </c>
      <c r="J350" s="21" t="n">
        <f aca="false">F350-I350*E350</f>
        <v>57571.68</v>
      </c>
    </row>
    <row r="351" customFormat="false" ht="15" hidden="false" customHeight="false" outlineLevel="0" collapsed="false">
      <c r="A351" s="0" t="s">
        <v>45</v>
      </c>
      <c r="B351" s="0" t="s">
        <v>32</v>
      </c>
      <c r="C351" s="0" t="s">
        <v>29</v>
      </c>
      <c r="D351" s="0" t="n">
        <v>195</v>
      </c>
      <c r="E351" s="22" t="n">
        <v>172.77</v>
      </c>
      <c r="F351" s="22" t="n">
        <f aca="false">D351*E351</f>
        <v>33690.15</v>
      </c>
      <c r="G351" s="22" t="n">
        <v>18471.76</v>
      </c>
      <c r="H351" s="22" t="n">
        <f aca="false">F351-G351</f>
        <v>15218.39</v>
      </c>
      <c r="I351" s="0" t="n">
        <v>8</v>
      </c>
      <c r="J351" s="22" t="n">
        <f aca="false">F351-I351*E351</f>
        <v>32307.99</v>
      </c>
    </row>
    <row r="352" customFormat="false" ht="15" hidden="false" customHeight="false" outlineLevel="0" collapsed="false">
      <c r="A352" s="20" t="s">
        <v>45</v>
      </c>
      <c r="B352" s="20" t="s">
        <v>33</v>
      </c>
      <c r="C352" s="20" t="s">
        <v>25</v>
      </c>
      <c r="D352" s="20" t="n">
        <v>391</v>
      </c>
      <c r="E352" s="21" t="n">
        <v>84.02</v>
      </c>
      <c r="F352" s="21" t="n">
        <f aca="false">D352*E352</f>
        <v>32851.82</v>
      </c>
      <c r="G352" s="21" t="n">
        <v>14951.84</v>
      </c>
      <c r="H352" s="21" t="n">
        <f aca="false">F352-G352</f>
        <v>17899.98</v>
      </c>
      <c r="I352" s="20" t="n">
        <v>19</v>
      </c>
      <c r="J352" s="21" t="n">
        <f aca="false">F352-I352*E352</f>
        <v>31255.44</v>
      </c>
    </row>
    <row r="353" customFormat="false" ht="15" hidden="false" customHeight="false" outlineLevel="0" collapsed="false">
      <c r="A353" s="0" t="s">
        <v>45</v>
      </c>
      <c r="B353" s="0" t="s">
        <v>33</v>
      </c>
      <c r="C353" s="0" t="s">
        <v>26</v>
      </c>
      <c r="D353" s="0" t="n">
        <v>78</v>
      </c>
      <c r="E353" s="22" t="n">
        <v>11.84</v>
      </c>
      <c r="F353" s="22" t="n">
        <f aca="false">D353*E353</f>
        <v>923.52</v>
      </c>
      <c r="G353" s="22" t="n">
        <v>439</v>
      </c>
      <c r="H353" s="22" t="n">
        <f aca="false">F353-G353</f>
        <v>484.52</v>
      </c>
      <c r="I353" s="0" t="n">
        <v>1</v>
      </c>
      <c r="J353" s="22" t="n">
        <f aca="false">F353-I353*E353</f>
        <v>911.68</v>
      </c>
    </row>
    <row r="354" customFormat="false" ht="15" hidden="false" customHeight="false" outlineLevel="0" collapsed="false">
      <c r="A354" s="20" t="s">
        <v>45</v>
      </c>
      <c r="B354" s="20" t="s">
        <v>33</v>
      </c>
      <c r="C354" s="20" t="s">
        <v>27</v>
      </c>
      <c r="D354" s="20" t="n">
        <v>442</v>
      </c>
      <c r="E354" s="21" t="n">
        <v>42.94</v>
      </c>
      <c r="F354" s="21" t="n">
        <f aca="false">D354*E354</f>
        <v>18979.48</v>
      </c>
      <c r="G354" s="21" t="n">
        <v>8804.2</v>
      </c>
      <c r="H354" s="21" t="n">
        <f aca="false">F354-G354</f>
        <v>10175.28</v>
      </c>
      <c r="I354" s="20" t="n">
        <v>10</v>
      </c>
      <c r="J354" s="21" t="n">
        <f aca="false">F354-I354*E354</f>
        <v>18550.08</v>
      </c>
    </row>
    <row r="355" customFormat="false" ht="15" hidden="false" customHeight="false" outlineLevel="0" collapsed="false">
      <c r="A355" s="0" t="s">
        <v>45</v>
      </c>
      <c r="B355" s="0" t="s">
        <v>33</v>
      </c>
      <c r="C355" s="0" t="s">
        <v>28</v>
      </c>
      <c r="D355" s="0" t="n">
        <v>111</v>
      </c>
      <c r="E355" s="22" t="n">
        <v>11.86</v>
      </c>
      <c r="F355" s="22" t="n">
        <f aca="false">D355*E355</f>
        <v>1316.46</v>
      </c>
      <c r="G355" s="22" t="n">
        <v>772.44</v>
      </c>
      <c r="H355" s="22" t="n">
        <f aca="false">F355-G355</f>
        <v>544.02</v>
      </c>
      <c r="I355" s="0" t="n">
        <v>1</v>
      </c>
      <c r="J355" s="22" t="n">
        <f aca="false">F355-I355*E355</f>
        <v>1304.6</v>
      </c>
    </row>
    <row r="356" customFormat="false" ht="15" hidden="false" customHeight="false" outlineLevel="0" collapsed="false">
      <c r="A356" s="20" t="s">
        <v>45</v>
      </c>
      <c r="B356" s="20" t="s">
        <v>33</v>
      </c>
      <c r="C356" s="20" t="s">
        <v>29</v>
      </c>
      <c r="D356" s="20" t="n">
        <v>116</v>
      </c>
      <c r="E356" s="21" t="n">
        <v>101.25</v>
      </c>
      <c r="F356" s="21" t="n">
        <f aca="false">D356*E356</f>
        <v>11745</v>
      </c>
      <c r="G356" s="21" t="n">
        <v>6764.15</v>
      </c>
      <c r="H356" s="21" t="n">
        <f aca="false">F356-G356</f>
        <v>4980.85</v>
      </c>
      <c r="I356" s="20" t="n">
        <v>4</v>
      </c>
      <c r="J356" s="21" t="n">
        <f aca="false">F356-I356*E356</f>
        <v>11340</v>
      </c>
    </row>
    <row r="357" customFormat="false" ht="15" hidden="false" customHeight="false" outlineLevel="0" collapsed="false">
      <c r="A357" s="0" t="s">
        <v>45</v>
      </c>
      <c r="B357" s="0" t="s">
        <v>34</v>
      </c>
      <c r="C357" s="0" t="s">
        <v>25</v>
      </c>
      <c r="D357" s="0" t="n">
        <v>336</v>
      </c>
      <c r="E357" s="22" t="n">
        <v>210.01</v>
      </c>
      <c r="F357" s="22" t="n">
        <f aca="false">D357*E357</f>
        <v>70563.36</v>
      </c>
      <c r="G357" s="22" t="n">
        <v>42447.39</v>
      </c>
      <c r="H357" s="22" t="n">
        <f aca="false">F357-G357</f>
        <v>28115.97</v>
      </c>
      <c r="I357" s="0" t="n">
        <v>2</v>
      </c>
      <c r="J357" s="22" t="n">
        <f aca="false">F357-I357*E357</f>
        <v>70143.34</v>
      </c>
    </row>
    <row r="358" customFormat="false" ht="15" hidden="false" customHeight="false" outlineLevel="0" collapsed="false">
      <c r="A358" s="20" t="s">
        <v>45</v>
      </c>
      <c r="B358" s="20" t="s">
        <v>34</v>
      </c>
      <c r="C358" s="20" t="s">
        <v>26</v>
      </c>
      <c r="D358" s="20" t="n">
        <v>253</v>
      </c>
      <c r="E358" s="21" t="n">
        <v>216.82</v>
      </c>
      <c r="F358" s="21" t="n">
        <f aca="false">D358*E358</f>
        <v>54855.46</v>
      </c>
      <c r="G358" s="21" t="n">
        <v>22522.31</v>
      </c>
      <c r="H358" s="21" t="n">
        <f aca="false">F358-G358</f>
        <v>32333.15</v>
      </c>
      <c r="I358" s="20" t="n">
        <v>0</v>
      </c>
      <c r="J358" s="21" t="n">
        <f aca="false">F358-I358*E358</f>
        <v>54855.46</v>
      </c>
    </row>
    <row r="359" customFormat="false" ht="15" hidden="false" customHeight="false" outlineLevel="0" collapsed="false">
      <c r="A359" s="0" t="s">
        <v>45</v>
      </c>
      <c r="B359" s="0" t="s">
        <v>34</v>
      </c>
      <c r="C359" s="0" t="s">
        <v>27</v>
      </c>
      <c r="D359" s="0" t="n">
        <v>285</v>
      </c>
      <c r="E359" s="22" t="n">
        <v>231.08</v>
      </c>
      <c r="F359" s="22" t="n">
        <f aca="false">D359*E359</f>
        <v>65857.8</v>
      </c>
      <c r="G359" s="22" t="n">
        <v>40537.29</v>
      </c>
      <c r="H359" s="22" t="n">
        <f aca="false">F359-G359</f>
        <v>25320.51</v>
      </c>
      <c r="I359" s="0" t="n">
        <v>9</v>
      </c>
      <c r="J359" s="22" t="n">
        <f aca="false">F359-I359*E359</f>
        <v>63778.08</v>
      </c>
    </row>
    <row r="360" customFormat="false" ht="15" hidden="false" customHeight="false" outlineLevel="0" collapsed="false">
      <c r="A360" s="20" t="s">
        <v>45</v>
      </c>
      <c r="B360" s="20" t="s">
        <v>34</v>
      </c>
      <c r="C360" s="20" t="s">
        <v>28</v>
      </c>
      <c r="D360" s="20" t="n">
        <v>269</v>
      </c>
      <c r="E360" s="21" t="n">
        <v>147.62</v>
      </c>
      <c r="F360" s="21" t="n">
        <f aca="false">D360*E360</f>
        <v>39709.78</v>
      </c>
      <c r="G360" s="21" t="n">
        <v>22927.42</v>
      </c>
      <c r="H360" s="21" t="n">
        <f aca="false">F360-G360</f>
        <v>16782.36</v>
      </c>
      <c r="I360" s="20" t="n">
        <v>6</v>
      </c>
      <c r="J360" s="21" t="n">
        <f aca="false">F360-I360*E360</f>
        <v>38824.06</v>
      </c>
    </row>
    <row r="361" customFormat="false" ht="15" hidden="false" customHeight="false" outlineLevel="0" collapsed="false">
      <c r="A361" s="0" t="s">
        <v>45</v>
      </c>
      <c r="B361" s="0" t="s">
        <v>34</v>
      </c>
      <c r="C361" s="0" t="s">
        <v>29</v>
      </c>
      <c r="D361" s="0" t="n">
        <v>198</v>
      </c>
      <c r="E361" s="22" t="n">
        <v>37.64</v>
      </c>
      <c r="F361" s="22" t="n">
        <f aca="false">D361*E361</f>
        <v>7452.72</v>
      </c>
      <c r="G361" s="22" t="n">
        <v>3019.95</v>
      </c>
      <c r="H361" s="22" t="n">
        <f aca="false">F361-G361</f>
        <v>4432.77</v>
      </c>
      <c r="I361" s="0" t="n">
        <v>5</v>
      </c>
      <c r="J361" s="22" t="n">
        <f aca="false">F361-I361*E361</f>
        <v>7264.52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6" hidden="false" customHeight="true" outlineLevel="0" collapsed="false">
      <c r="A1" s="23" t="s">
        <v>46</v>
      </c>
      <c r="B1" s="23"/>
      <c r="C1" s="23"/>
      <c r="D1" s="23"/>
      <c r="E1" s="23"/>
      <c r="F1" s="23"/>
      <c r="G1" s="23"/>
      <c r="H1" s="23"/>
    </row>
    <row r="2" customFormat="false" ht="21.7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24" t="s">
        <v>16</v>
      </c>
      <c r="B4" s="24" t="s">
        <v>48</v>
      </c>
      <c r="C4" s="24" t="s">
        <v>49</v>
      </c>
      <c r="D4" s="24" t="s">
        <v>50</v>
      </c>
      <c r="E4" s="24" t="s">
        <v>20</v>
      </c>
      <c r="F4" s="24" t="s">
        <v>5</v>
      </c>
      <c r="G4" s="24" t="s">
        <v>7</v>
      </c>
      <c r="H4" s="24" t="s">
        <v>22</v>
      </c>
    </row>
    <row r="5" customFormat="false" ht="15" hidden="false" customHeight="false" outlineLevel="0" collapsed="false">
      <c r="A5" s="25" t="s">
        <v>23</v>
      </c>
      <c r="B5" s="26" t="n">
        <f aca="false">SUMIF('Sales Data'!A:A,A5,'Sales Data'!D:D)</f>
        <v>8425</v>
      </c>
      <c r="C5" s="26" t="n">
        <f aca="false">SUMIF('Sales Data'!A:A,A5,'Sales Data'!F:F)</f>
        <v>862650.45</v>
      </c>
      <c r="D5" s="26" t="n">
        <f aca="false">SUMIF('Sales Data'!A:A,A5,'Sales Data'!G:G)</f>
        <v>458778.03</v>
      </c>
      <c r="E5" s="26" t="n">
        <f aca="false">C5-D5</f>
        <v>403872.42</v>
      </c>
      <c r="F5" s="27" t="n">
        <f aca="false">IFERROR(E5/C5,0)</f>
        <v>0.468176212045099</v>
      </c>
      <c r="G5" s="26" t="n">
        <f aca="false">SUMIF('Sales Data'!A:A,A5,'Sales Data'!I:I)</f>
        <v>199</v>
      </c>
      <c r="H5" s="26" t="n">
        <f aca="false">SUMIF('Sales Data'!A:A,A5,'Sales Data'!J:J)</f>
        <v>843725.79</v>
      </c>
    </row>
    <row r="6" customFormat="false" ht="15" hidden="false" customHeight="false" outlineLevel="0" collapsed="false">
      <c r="A6" s="28" t="s">
        <v>35</v>
      </c>
      <c r="B6" s="29" t="n">
        <f aca="false">SUMIF('Sales Data'!A:A,A6,'Sales Data'!D:D)</f>
        <v>7917</v>
      </c>
      <c r="C6" s="29" t="n">
        <f aca="false">SUMIF('Sales Data'!A:A,A6,'Sales Data'!F:F)</f>
        <v>1044200.31</v>
      </c>
      <c r="D6" s="29" t="n">
        <f aca="false">SUMIF('Sales Data'!A:A,A6,'Sales Data'!G:G)</f>
        <v>581865.81</v>
      </c>
      <c r="E6" s="29" t="n">
        <f aca="false">C6-D6</f>
        <v>462334.5</v>
      </c>
      <c r="F6" s="30" t="n">
        <f aca="false">IFERROR(E6/C6,0)</f>
        <v>0.442764185733674</v>
      </c>
      <c r="G6" s="29" t="n">
        <f aca="false">SUMIF('Sales Data'!A:A,A6,'Sales Data'!I:I)</f>
        <v>180</v>
      </c>
      <c r="H6" s="29" t="n">
        <f aca="false">SUMIF('Sales Data'!A:A,A6,'Sales Data'!J:J)</f>
        <v>1021990.88</v>
      </c>
    </row>
    <row r="7" customFormat="false" ht="15" hidden="false" customHeight="false" outlineLevel="0" collapsed="false">
      <c r="A7" s="25" t="s">
        <v>36</v>
      </c>
      <c r="B7" s="26" t="n">
        <f aca="false">SUMIF('Sales Data'!A:A,A7,'Sales Data'!D:D)</f>
        <v>5873</v>
      </c>
      <c r="C7" s="26" t="n">
        <f aca="false">SUMIF('Sales Data'!A:A,A7,'Sales Data'!F:F)</f>
        <v>863686.64</v>
      </c>
      <c r="D7" s="26" t="n">
        <f aca="false">SUMIF('Sales Data'!A:A,A7,'Sales Data'!G:G)</f>
        <v>477925.21</v>
      </c>
      <c r="E7" s="26" t="n">
        <f aca="false">C7-D7</f>
        <v>385761.43</v>
      </c>
      <c r="F7" s="27" t="n">
        <f aca="false">IFERROR(E7/C7,0)</f>
        <v>0.446645128145087</v>
      </c>
      <c r="G7" s="26" t="n">
        <f aca="false">SUMIF('Sales Data'!A:A,A7,'Sales Data'!I:I)</f>
        <v>124</v>
      </c>
      <c r="H7" s="26" t="n">
        <f aca="false">SUMIF('Sales Data'!A:A,A7,'Sales Data'!J:J)</f>
        <v>845339.24</v>
      </c>
    </row>
    <row r="8" customFormat="false" ht="15" hidden="false" customHeight="false" outlineLevel="0" collapsed="false">
      <c r="A8" s="28" t="s">
        <v>37</v>
      </c>
      <c r="B8" s="29" t="n">
        <f aca="false">SUMIF('Sales Data'!A:A,A8,'Sales Data'!D:D)</f>
        <v>8680</v>
      </c>
      <c r="C8" s="29" t="n">
        <f aca="false">SUMIF('Sales Data'!A:A,A8,'Sales Data'!F:F)</f>
        <v>1028159.03</v>
      </c>
      <c r="D8" s="29" t="n">
        <f aca="false">SUMIF('Sales Data'!A:A,A8,'Sales Data'!G:G)</f>
        <v>557657.84</v>
      </c>
      <c r="E8" s="29" t="n">
        <f aca="false">C8-D8</f>
        <v>470501.19</v>
      </c>
      <c r="F8" s="30" t="n">
        <f aca="false">IFERROR(E8/C8,0)</f>
        <v>0.4576151901326</v>
      </c>
      <c r="G8" s="29" t="n">
        <f aca="false">SUMIF('Sales Data'!A:A,A8,'Sales Data'!I:I)</f>
        <v>192</v>
      </c>
      <c r="H8" s="29" t="n">
        <f aca="false">SUMIF('Sales Data'!A:A,A8,'Sales Data'!J:J)</f>
        <v>1008481.78</v>
      </c>
    </row>
    <row r="9" customFormat="false" ht="15" hidden="false" customHeight="false" outlineLevel="0" collapsed="false">
      <c r="A9" s="25" t="s">
        <v>38</v>
      </c>
      <c r="B9" s="26" t="n">
        <f aca="false">SUMIF('Sales Data'!A:A,A9,'Sales Data'!D:D)</f>
        <v>9628</v>
      </c>
      <c r="C9" s="26" t="n">
        <f aca="false">SUMIF('Sales Data'!A:A,A9,'Sales Data'!F:F)</f>
        <v>1336522.09</v>
      </c>
      <c r="D9" s="26" t="n">
        <f aca="false">SUMIF('Sales Data'!A:A,A9,'Sales Data'!G:G)</f>
        <v>716295.69</v>
      </c>
      <c r="E9" s="26" t="n">
        <f aca="false">C9-D9</f>
        <v>620226.4</v>
      </c>
      <c r="F9" s="27" t="n">
        <f aca="false">IFERROR(E9/C9,0)</f>
        <v>0.464059969259468</v>
      </c>
      <c r="G9" s="26" t="n">
        <f aca="false">SUMIF('Sales Data'!A:A,A9,'Sales Data'!I:I)</f>
        <v>237</v>
      </c>
      <c r="H9" s="26" t="n">
        <f aca="false">SUMIF('Sales Data'!A:A,A9,'Sales Data'!J:J)</f>
        <v>1303942.45</v>
      </c>
    </row>
    <row r="10" customFormat="false" ht="15" hidden="false" customHeight="false" outlineLevel="0" collapsed="false">
      <c r="A10" s="28" t="s">
        <v>39</v>
      </c>
      <c r="B10" s="29" t="n">
        <f aca="false">SUMIF('Sales Data'!A:A,A10,'Sales Data'!D:D)</f>
        <v>8857</v>
      </c>
      <c r="C10" s="29" t="n">
        <f aca="false">SUMIF('Sales Data'!A:A,A10,'Sales Data'!F:F)</f>
        <v>1326786.04</v>
      </c>
      <c r="D10" s="29" t="n">
        <f aca="false">SUMIF('Sales Data'!A:A,A10,'Sales Data'!G:G)</f>
        <v>689193.27</v>
      </c>
      <c r="E10" s="29" t="n">
        <f aca="false">C10-D10</f>
        <v>637592.77</v>
      </c>
      <c r="F10" s="30" t="n">
        <f aca="false">IFERROR(E10/C10,0)</f>
        <v>0.480554325096758</v>
      </c>
      <c r="G10" s="29" t="n">
        <f aca="false">SUMIF('Sales Data'!A:A,A10,'Sales Data'!I:I)</f>
        <v>208</v>
      </c>
      <c r="H10" s="29" t="n">
        <f aca="false">SUMIF('Sales Data'!A:A,A10,'Sales Data'!J:J)</f>
        <v>1296803.09</v>
      </c>
    </row>
    <row r="11" customFormat="false" ht="15" hidden="false" customHeight="false" outlineLevel="0" collapsed="false">
      <c r="A11" s="25" t="s">
        <v>40</v>
      </c>
      <c r="B11" s="26" t="n">
        <f aca="false">SUMIF('Sales Data'!A:A,A11,'Sales Data'!D:D)</f>
        <v>7001</v>
      </c>
      <c r="C11" s="26" t="n">
        <f aca="false">SUMIF('Sales Data'!A:A,A11,'Sales Data'!F:F)</f>
        <v>983369.15</v>
      </c>
      <c r="D11" s="26" t="n">
        <f aca="false">SUMIF('Sales Data'!A:A,A11,'Sales Data'!G:G)</f>
        <v>502979.44</v>
      </c>
      <c r="E11" s="26" t="n">
        <f aca="false">C11-D11</f>
        <v>480389.71</v>
      </c>
      <c r="F11" s="27" t="n">
        <f aca="false">IFERROR(E11/C11,0)</f>
        <v>0.488514114968931</v>
      </c>
      <c r="G11" s="26" t="n">
        <f aca="false">SUMIF('Sales Data'!A:A,A11,'Sales Data'!I:I)</f>
        <v>195</v>
      </c>
      <c r="H11" s="26" t="n">
        <f aca="false">SUMIF('Sales Data'!A:A,A11,'Sales Data'!J:J)</f>
        <v>956565.51</v>
      </c>
    </row>
    <row r="12" customFormat="false" ht="15" hidden="false" customHeight="false" outlineLevel="0" collapsed="false">
      <c r="A12" s="28" t="s">
        <v>41</v>
      </c>
      <c r="B12" s="29" t="n">
        <f aca="false">SUMIF('Sales Data'!A:A,A12,'Sales Data'!D:D)</f>
        <v>9104</v>
      </c>
      <c r="C12" s="29" t="n">
        <f aca="false">SUMIF('Sales Data'!A:A,A12,'Sales Data'!F:F)</f>
        <v>1172859.54</v>
      </c>
      <c r="D12" s="29" t="n">
        <f aca="false">SUMIF('Sales Data'!A:A,A12,'Sales Data'!G:G)</f>
        <v>611134.61</v>
      </c>
      <c r="E12" s="29" t="n">
        <f aca="false">C12-D12</f>
        <v>561724.93</v>
      </c>
      <c r="F12" s="30" t="n">
        <f aca="false">IFERROR(E12/C12,0)</f>
        <v>0.478936233063339</v>
      </c>
      <c r="G12" s="29" t="n">
        <f aca="false">SUMIF('Sales Data'!A:A,A12,'Sales Data'!I:I)</f>
        <v>184</v>
      </c>
      <c r="H12" s="29" t="n">
        <f aca="false">SUMIF('Sales Data'!A:A,A12,'Sales Data'!J:J)</f>
        <v>1149658.19</v>
      </c>
    </row>
    <row r="13" customFormat="false" ht="15" hidden="false" customHeight="false" outlineLevel="0" collapsed="false">
      <c r="A13" s="25" t="s">
        <v>42</v>
      </c>
      <c r="B13" s="26" t="n">
        <f aca="false">SUMIF('Sales Data'!A:A,A13,'Sales Data'!D:D)</f>
        <v>8002</v>
      </c>
      <c r="C13" s="26" t="n">
        <f aca="false">SUMIF('Sales Data'!A:A,A13,'Sales Data'!F:F)</f>
        <v>1241687.04</v>
      </c>
      <c r="D13" s="26" t="n">
        <f aca="false">SUMIF('Sales Data'!A:A,A13,'Sales Data'!G:G)</f>
        <v>656688.74</v>
      </c>
      <c r="E13" s="26" t="n">
        <f aca="false">C13-D13</f>
        <v>584998.3</v>
      </c>
      <c r="F13" s="27" t="n">
        <f aca="false">IFERROR(E13/C13,0)</f>
        <v>0.47113184011327</v>
      </c>
      <c r="G13" s="26" t="n">
        <f aca="false">SUMIF('Sales Data'!A:A,A13,'Sales Data'!I:I)</f>
        <v>229</v>
      </c>
      <c r="H13" s="26" t="n">
        <f aca="false">SUMIF('Sales Data'!A:A,A13,'Sales Data'!J:J)</f>
        <v>1205970.31</v>
      </c>
    </row>
    <row r="14" customFormat="false" ht="15" hidden="false" customHeight="false" outlineLevel="0" collapsed="false">
      <c r="A14" s="28" t="s">
        <v>43</v>
      </c>
      <c r="B14" s="29" t="n">
        <f aca="false">SUMIF('Sales Data'!A:A,A14,'Sales Data'!D:D)</f>
        <v>9450</v>
      </c>
      <c r="C14" s="29" t="n">
        <f aca="false">SUMIF('Sales Data'!A:A,A14,'Sales Data'!F:F)</f>
        <v>1363939.87</v>
      </c>
      <c r="D14" s="29" t="n">
        <f aca="false">SUMIF('Sales Data'!A:A,A14,'Sales Data'!G:G)</f>
        <v>705350.81</v>
      </c>
      <c r="E14" s="29" t="n">
        <f aca="false">C14-D14</f>
        <v>658589.06</v>
      </c>
      <c r="F14" s="30" t="n">
        <f aca="false">IFERROR(E14/C14,0)</f>
        <v>0.482857840353329</v>
      </c>
      <c r="G14" s="29" t="n">
        <f aca="false">SUMIF('Sales Data'!A:A,A14,'Sales Data'!I:I)</f>
        <v>230</v>
      </c>
      <c r="H14" s="29" t="n">
        <f aca="false">SUMIF('Sales Data'!A:A,A14,'Sales Data'!J:J)</f>
        <v>1332309.59</v>
      </c>
    </row>
    <row r="15" customFormat="false" ht="15" hidden="false" customHeight="false" outlineLevel="0" collapsed="false">
      <c r="A15" s="25" t="s">
        <v>44</v>
      </c>
      <c r="B15" s="26" t="n">
        <f aca="false">SUMIF('Sales Data'!A:A,A15,'Sales Data'!D:D)</f>
        <v>8743</v>
      </c>
      <c r="C15" s="26" t="n">
        <f aca="false">SUMIF('Sales Data'!A:A,A15,'Sales Data'!F:F)</f>
        <v>1111875.33</v>
      </c>
      <c r="D15" s="26" t="n">
        <f aca="false">SUMIF('Sales Data'!A:A,A15,'Sales Data'!G:G)</f>
        <v>591048.57</v>
      </c>
      <c r="E15" s="26" t="n">
        <f aca="false">C15-D15</f>
        <v>520826.76</v>
      </c>
      <c r="F15" s="27" t="n">
        <f aca="false">IFERROR(E15/C15,0)</f>
        <v>0.468421904819131</v>
      </c>
      <c r="G15" s="26" t="n">
        <f aca="false">SUMIF('Sales Data'!A:A,A15,'Sales Data'!I:I)</f>
        <v>178</v>
      </c>
      <c r="H15" s="26" t="n">
        <f aca="false">SUMIF('Sales Data'!A:A,A15,'Sales Data'!J:J)</f>
        <v>1089373.34</v>
      </c>
    </row>
    <row r="16" customFormat="false" ht="15" hidden="false" customHeight="false" outlineLevel="0" collapsed="false">
      <c r="A16" s="28" t="s">
        <v>45</v>
      </c>
      <c r="B16" s="29" t="n">
        <f aca="false">SUMIF('Sales Data'!A:A,A16,'Sales Data'!D:D)</f>
        <v>8184</v>
      </c>
      <c r="C16" s="29" t="n">
        <f aca="false">SUMIF('Sales Data'!A:A,A16,'Sales Data'!F:F)</f>
        <v>967790.2</v>
      </c>
      <c r="D16" s="29" t="n">
        <f aca="false">SUMIF('Sales Data'!A:A,A16,'Sales Data'!G:G)</f>
        <v>485877.89</v>
      </c>
      <c r="E16" s="29" t="n">
        <f aca="false">C16-D16</f>
        <v>481912.31</v>
      </c>
      <c r="F16" s="30" t="n">
        <f aca="false">IFERROR(E16/C16,0)</f>
        <v>0.497951219179529</v>
      </c>
      <c r="G16" s="29" t="n">
        <f aca="false">SUMIF('Sales Data'!A:A,A16,'Sales Data'!I:I)</f>
        <v>201</v>
      </c>
      <c r="H16" s="29" t="n">
        <f aca="false">SUMIF('Sales Data'!A:A,A16,'Sales Data'!J:J)</f>
        <v>946626.89</v>
      </c>
    </row>
    <row r="17" customFormat="false" ht="15" hidden="false" customHeight="false" outlineLevel="0" collapsed="false">
      <c r="A17" s="31" t="s">
        <v>51</v>
      </c>
      <c r="B17" s="32" t="n">
        <f aca="false">SUM(B5:B16)</f>
        <v>99864</v>
      </c>
      <c r="C17" s="32" t="n">
        <f aca="false">SUM(C5:C16)</f>
        <v>13303525.69</v>
      </c>
      <c r="D17" s="32" t="n">
        <f aca="false">SUM(D5:D16)</f>
        <v>7034795.91</v>
      </c>
      <c r="E17" s="32" t="n">
        <f aca="false">SUM(E5:E16)</f>
        <v>6268729.78</v>
      </c>
      <c r="F17" s="33" t="n">
        <f aca="false">IFERROR(E17/C17,0)</f>
        <v>0.471208153843915</v>
      </c>
      <c r="G17" s="32" t="n">
        <f aca="false">SUM(G5:G16)</f>
        <v>2357</v>
      </c>
      <c r="H17" s="32" t="n">
        <f aca="false">SUM(H5:H16)</f>
        <v>13000787.06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36" hidden="false" customHeight="true" outlineLevel="0" collapsed="false">
      <c r="A1" s="23" t="s">
        <v>52</v>
      </c>
      <c r="B1" s="23"/>
      <c r="C1" s="23"/>
      <c r="D1" s="23"/>
      <c r="E1" s="23"/>
      <c r="F1" s="23"/>
      <c r="G1" s="23"/>
    </row>
    <row r="2" customFormat="false" ht="21.7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</row>
    <row r="4" customFormat="false" ht="36" hidden="false" customHeight="true" outlineLevel="0" collapsed="false">
      <c r="A4" s="24" t="s">
        <v>10</v>
      </c>
      <c r="B4" s="24" t="s">
        <v>48</v>
      </c>
      <c r="C4" s="24" t="s">
        <v>49</v>
      </c>
      <c r="D4" s="24" t="s">
        <v>20</v>
      </c>
      <c r="E4" s="24" t="s">
        <v>5</v>
      </c>
      <c r="F4" s="24" t="s">
        <v>21</v>
      </c>
      <c r="G4" s="24" t="s">
        <v>22</v>
      </c>
    </row>
    <row r="5" customFormat="false" ht="15" hidden="false" customHeight="false" outlineLevel="0" collapsed="false">
      <c r="A5" s="25" t="s">
        <v>24</v>
      </c>
      <c r="B5" s="26" t="n">
        <f aca="false">SUMIF('Sales Data'!B:B,A5,'Sales Data'!D:D)</f>
        <v>17491</v>
      </c>
      <c r="C5" s="26" t="n">
        <f aca="false">SUMIF('Sales Data'!B:B,A5,'Sales Data'!F:F)</f>
        <v>2011117.63</v>
      </c>
      <c r="D5" s="26" t="n">
        <f aca="false">SUMIF('Sales Data'!B:B,A5,'Sales Data'!H:H)</f>
        <v>951192.34</v>
      </c>
      <c r="E5" s="27" t="n">
        <f aca="false">IFERROR(D5/C5,0)</f>
        <v>0.472967033758239</v>
      </c>
      <c r="F5" s="26" t="n">
        <f aca="false">SUMIF('Sales Data'!B:B,A5,'Sales Data'!I:I)</f>
        <v>480</v>
      </c>
      <c r="G5" s="26" t="n">
        <f aca="false">SUMIF('Sales Data'!B:B,A5,'Sales Data'!J:J)</f>
        <v>1955298.5</v>
      </c>
    </row>
    <row r="6" customFormat="false" ht="15" hidden="false" customHeight="false" outlineLevel="0" collapsed="false">
      <c r="A6" s="28" t="s">
        <v>30</v>
      </c>
      <c r="B6" s="29" t="n">
        <f aca="false">SUMIF('Sales Data'!B:B,A6,'Sales Data'!D:D)</f>
        <v>17145</v>
      </c>
      <c r="C6" s="29" t="n">
        <f aca="false">SUMIF('Sales Data'!B:B,A6,'Sales Data'!F:F)</f>
        <v>2351492.48</v>
      </c>
      <c r="D6" s="29" t="n">
        <f aca="false">SUMIF('Sales Data'!B:B,A6,'Sales Data'!H:H)</f>
        <v>1120352.74</v>
      </c>
      <c r="E6" s="30" t="n">
        <f aca="false">IFERROR(D6/C6,0)</f>
        <v>0.476443258708614</v>
      </c>
      <c r="F6" s="29" t="n">
        <f aca="false">SUMIF('Sales Data'!B:B,A6,'Sales Data'!I:I)</f>
        <v>370</v>
      </c>
      <c r="G6" s="29" t="n">
        <f aca="false">SUMIF('Sales Data'!B:B,A6,'Sales Data'!J:J)</f>
        <v>2299739.58</v>
      </c>
    </row>
    <row r="7" customFormat="false" ht="15" hidden="false" customHeight="false" outlineLevel="0" collapsed="false">
      <c r="A7" s="25" t="s">
        <v>31</v>
      </c>
      <c r="B7" s="26" t="n">
        <f aca="false">SUMIF('Sales Data'!B:B,A7,'Sales Data'!D:D)</f>
        <v>16044</v>
      </c>
      <c r="C7" s="26" t="n">
        <f aca="false">SUMIF('Sales Data'!B:B,A7,'Sales Data'!F:F)</f>
        <v>1979342.05</v>
      </c>
      <c r="D7" s="26" t="n">
        <f aca="false">SUMIF('Sales Data'!B:B,A7,'Sales Data'!H:H)</f>
        <v>919029.55</v>
      </c>
      <c r="E7" s="27" t="n">
        <f aca="false">IFERROR(D7/C7,0)</f>
        <v>0.464310627867477</v>
      </c>
      <c r="F7" s="26" t="n">
        <f aca="false">SUMIF('Sales Data'!B:B,A7,'Sales Data'!I:I)</f>
        <v>359</v>
      </c>
      <c r="G7" s="26" t="n">
        <f aca="false">SUMIF('Sales Data'!B:B,A7,'Sales Data'!J:J)</f>
        <v>1935774.15</v>
      </c>
    </row>
    <row r="8" customFormat="false" ht="15" hidden="false" customHeight="false" outlineLevel="0" collapsed="false">
      <c r="A8" s="28" t="s">
        <v>32</v>
      </c>
      <c r="B8" s="29" t="n">
        <f aca="false">SUMIF('Sales Data'!B:B,A8,'Sales Data'!D:D)</f>
        <v>17252</v>
      </c>
      <c r="C8" s="29" t="n">
        <f aca="false">SUMIF('Sales Data'!B:B,A8,'Sales Data'!F:F)</f>
        <v>2521901.5</v>
      </c>
      <c r="D8" s="29" t="n">
        <f aca="false">SUMIF('Sales Data'!B:B,A8,'Sales Data'!H:H)</f>
        <v>1199146.37</v>
      </c>
      <c r="E8" s="30" t="n">
        <f aca="false">IFERROR(D8/C8,0)</f>
        <v>0.475492944510323</v>
      </c>
      <c r="F8" s="29" t="n">
        <f aca="false">SUMIF('Sales Data'!B:B,A8,'Sales Data'!I:I)</f>
        <v>359</v>
      </c>
      <c r="G8" s="29" t="n">
        <f aca="false">SUMIF('Sales Data'!B:B,A8,'Sales Data'!J:J)</f>
        <v>2470660.01</v>
      </c>
    </row>
    <row r="9" customFormat="false" ht="15" hidden="false" customHeight="false" outlineLevel="0" collapsed="false">
      <c r="A9" s="25" t="s">
        <v>33</v>
      </c>
      <c r="B9" s="26" t="n">
        <f aca="false">SUMIF('Sales Data'!B:B,A9,'Sales Data'!D:D)</f>
        <v>16105</v>
      </c>
      <c r="C9" s="26" t="n">
        <f aca="false">SUMIF('Sales Data'!B:B,A9,'Sales Data'!F:F)</f>
        <v>2200076.96</v>
      </c>
      <c r="D9" s="26" t="n">
        <f aca="false">SUMIF('Sales Data'!B:B,A9,'Sales Data'!H:H)</f>
        <v>1024688.68</v>
      </c>
      <c r="E9" s="27" t="n">
        <f aca="false">IFERROR(D9/C9,0)</f>
        <v>0.465751288991272</v>
      </c>
      <c r="F9" s="26" t="n">
        <f aca="false">SUMIF('Sales Data'!B:B,A9,'Sales Data'!I:I)</f>
        <v>439</v>
      </c>
      <c r="G9" s="26" t="n">
        <f aca="false">SUMIF('Sales Data'!B:B,A9,'Sales Data'!J:J)</f>
        <v>2144563.03</v>
      </c>
    </row>
    <row r="10" customFormat="false" ht="15" hidden="false" customHeight="false" outlineLevel="0" collapsed="false">
      <c r="A10" s="28" t="s">
        <v>34</v>
      </c>
      <c r="B10" s="29" t="n">
        <f aca="false">SUMIF('Sales Data'!B:B,A10,'Sales Data'!D:D)</f>
        <v>15827</v>
      </c>
      <c r="C10" s="29" t="n">
        <f aca="false">SUMIF('Sales Data'!B:B,A10,'Sales Data'!F:F)</f>
        <v>2239595.07</v>
      </c>
      <c r="D10" s="29" t="n">
        <f aca="false">SUMIF('Sales Data'!B:B,A10,'Sales Data'!H:H)</f>
        <v>1054320.1</v>
      </c>
      <c r="E10" s="30" t="n">
        <f aca="false">IFERROR(D10/C10,0)</f>
        <v>0.470763717121417</v>
      </c>
      <c r="F10" s="29" t="n">
        <f aca="false">SUMIF('Sales Data'!B:B,A10,'Sales Data'!I:I)</f>
        <v>350</v>
      </c>
      <c r="G10" s="29" t="n">
        <f aca="false">SUMIF('Sales Data'!B:B,A10,'Sales Data'!J:J)</f>
        <v>2194751.79</v>
      </c>
    </row>
    <row r="11" customFormat="false" ht="15" hidden="false" customHeight="false" outlineLevel="0" collapsed="false">
      <c r="A11" s="31" t="s">
        <v>51</v>
      </c>
      <c r="B11" s="32" t="n">
        <f aca="false">SUM(B5:B10)</f>
        <v>99864</v>
      </c>
      <c r="C11" s="32" t="n">
        <f aca="false">SUM(C5:C10)</f>
        <v>13303525.69</v>
      </c>
      <c r="D11" s="32" t="n">
        <f aca="false">SUM(D5:D10)</f>
        <v>6268729.78</v>
      </c>
      <c r="E11" s="33" t="n">
        <f aca="false">IFERROR(D11/C11,0)</f>
        <v>0.471208153843915</v>
      </c>
      <c r="F11" s="32" t="n">
        <f aca="false">SUM(F5:F10)</f>
        <v>2357</v>
      </c>
      <c r="G11" s="32" t="n">
        <f aca="false">SUM(G5:G10)</f>
        <v>13000787.06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</cols>
  <sheetData>
    <row r="1" customFormat="false" ht="36" hidden="false" customHeight="true" outlineLevel="0" collapsed="false">
      <c r="A1" s="23" t="s">
        <v>54</v>
      </c>
      <c r="B1" s="23"/>
      <c r="C1" s="23"/>
      <c r="D1" s="23"/>
      <c r="E1" s="23"/>
      <c r="F1" s="23"/>
    </row>
    <row r="2" customFormat="false" ht="21.75" hidden="false" customHeight="true" outlineLevel="0" collapsed="false">
      <c r="A2" s="2" t="s">
        <v>55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24" t="s">
        <v>14</v>
      </c>
      <c r="B4" s="24" t="s">
        <v>48</v>
      </c>
      <c r="C4" s="24" t="s">
        <v>49</v>
      </c>
      <c r="D4" s="24" t="s">
        <v>20</v>
      </c>
      <c r="E4" s="24" t="s">
        <v>5</v>
      </c>
      <c r="F4" s="24" t="s">
        <v>22</v>
      </c>
    </row>
    <row r="5" customFormat="false" ht="15" hidden="false" customHeight="false" outlineLevel="0" collapsed="false">
      <c r="A5" s="25" t="s">
        <v>25</v>
      </c>
      <c r="B5" s="26" t="n">
        <f aca="false">SUMIF('Sales Data'!C:C,A5,'Sales Data'!D:D)</f>
        <v>19863</v>
      </c>
      <c r="C5" s="26" t="n">
        <f aca="false">SUMIF('Sales Data'!C:C,A5,'Sales Data'!F:F)</f>
        <v>2603868.83</v>
      </c>
      <c r="D5" s="26" t="n">
        <f aca="false">SUMIF('Sales Data'!C:C,A5,'Sales Data'!H:H)</f>
        <v>1242799.03</v>
      </c>
      <c r="E5" s="27" t="n">
        <f aca="false">IFERROR(D5/C5,0)</f>
        <v>0.477289414766719</v>
      </c>
      <c r="F5" s="26" t="n">
        <f aca="false">SUMIF('Sales Data'!C:C,A5,'Sales Data'!J:J)</f>
        <v>2530773.72</v>
      </c>
    </row>
    <row r="6" customFormat="false" ht="15" hidden="false" customHeight="false" outlineLevel="0" collapsed="false">
      <c r="A6" s="28" t="s">
        <v>26</v>
      </c>
      <c r="B6" s="29" t="n">
        <f aca="false">SUMIF('Sales Data'!C:C,A6,'Sales Data'!D:D)</f>
        <v>21098</v>
      </c>
      <c r="C6" s="29" t="n">
        <f aca="false">SUMIF('Sales Data'!C:C,A6,'Sales Data'!F:F)</f>
        <v>2512432.97</v>
      </c>
      <c r="D6" s="29" t="n">
        <f aca="false">SUMIF('Sales Data'!C:C,A6,'Sales Data'!H:H)</f>
        <v>1187111.76</v>
      </c>
      <c r="E6" s="30" t="n">
        <f aca="false">IFERROR(D6/C6,0)</f>
        <v>0.472494898042991</v>
      </c>
      <c r="F6" s="29" t="n">
        <f aca="false">SUMIF('Sales Data'!C:C,A6,'Sales Data'!J:J)</f>
        <v>2457836.56</v>
      </c>
    </row>
    <row r="7" customFormat="false" ht="15" hidden="false" customHeight="false" outlineLevel="0" collapsed="false">
      <c r="A7" s="25" t="s">
        <v>27</v>
      </c>
      <c r="B7" s="26" t="n">
        <f aca="false">SUMIF('Sales Data'!C:C,A7,'Sales Data'!D:D)</f>
        <v>21063</v>
      </c>
      <c r="C7" s="26" t="n">
        <f aca="false">SUMIF('Sales Data'!C:C,A7,'Sales Data'!F:F)</f>
        <v>3028926.51</v>
      </c>
      <c r="D7" s="26" t="n">
        <f aca="false">SUMIF('Sales Data'!C:C,A7,'Sales Data'!H:H)</f>
        <v>1402507.11</v>
      </c>
      <c r="E7" s="27" t="n">
        <f aca="false">IFERROR(D7/C7,0)</f>
        <v>0.463037681954192</v>
      </c>
      <c r="F7" s="26" t="n">
        <f aca="false">SUMIF('Sales Data'!C:C,A7,'Sales Data'!J:J)</f>
        <v>2963736.86</v>
      </c>
    </row>
    <row r="8" customFormat="false" ht="15" hidden="false" customHeight="false" outlineLevel="0" collapsed="false">
      <c r="A8" s="28" t="s">
        <v>28</v>
      </c>
      <c r="B8" s="29" t="n">
        <f aca="false">SUMIF('Sales Data'!C:C,A8,'Sales Data'!D:D)</f>
        <v>17835</v>
      </c>
      <c r="C8" s="29" t="n">
        <f aca="false">SUMIF('Sales Data'!C:C,A8,'Sales Data'!F:F)</f>
        <v>2318744.76</v>
      </c>
      <c r="D8" s="29" t="n">
        <f aca="false">SUMIF('Sales Data'!C:C,A8,'Sales Data'!H:H)</f>
        <v>1106432.44</v>
      </c>
      <c r="E8" s="30" t="n">
        <f aca="false">IFERROR(D8/C8,0)</f>
        <v>0.477168707434621</v>
      </c>
      <c r="F8" s="29" t="n">
        <f aca="false">SUMIF('Sales Data'!C:C,A8,'Sales Data'!J:J)</f>
        <v>2272626.98</v>
      </c>
    </row>
    <row r="9" customFormat="false" ht="15" hidden="false" customHeight="false" outlineLevel="0" collapsed="false">
      <c r="A9" s="25" t="s">
        <v>29</v>
      </c>
      <c r="B9" s="26" t="n">
        <f aca="false">SUMIF('Sales Data'!C:C,A9,'Sales Data'!D:D)</f>
        <v>20005</v>
      </c>
      <c r="C9" s="26" t="n">
        <f aca="false">SUMIF('Sales Data'!C:C,A9,'Sales Data'!F:F)</f>
        <v>2839552.62</v>
      </c>
      <c r="D9" s="26" t="n">
        <f aca="false">SUMIF('Sales Data'!C:C,A9,'Sales Data'!H:H)</f>
        <v>1329879.44</v>
      </c>
      <c r="E9" s="27" t="n">
        <f aca="false">IFERROR(D9/C9,0)</f>
        <v>0.468341185380111</v>
      </c>
      <c r="F9" s="26" t="n">
        <f aca="false">SUMIF('Sales Data'!C:C,A9,'Sales Data'!J:J)</f>
        <v>2775812.94</v>
      </c>
    </row>
    <row r="10" customFormat="false" ht="15" hidden="false" customHeight="false" outlineLevel="0" collapsed="false">
      <c r="A10" s="31" t="s">
        <v>51</v>
      </c>
      <c r="B10" s="32" t="n">
        <f aca="false">SUM(B5:B9)</f>
        <v>99864</v>
      </c>
      <c r="C10" s="32" t="n">
        <f aca="false">SUM(C5:C9)</f>
        <v>13303525.69</v>
      </c>
      <c r="D10" s="32" t="n">
        <f aca="false">SUM(D5:D9)</f>
        <v>6268729.78</v>
      </c>
      <c r="E10" s="33" t="n">
        <f aca="false">IFERROR(D10/C10,0)</f>
        <v>0.471208153843915</v>
      </c>
      <c r="F10" s="32" t="n">
        <f aca="false">SUM(F5:F9)</f>
        <v>13000787.06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2026-06-27T20:36:57Z</dcterms:created>
  <dc:creator>openpyxl</dc:creator>
  <dc:description/>
  <dc:language>en-US</dc:language>
  <cp:lastModifiedBy/>
  <dcterms:modified xsi:type="dcterms:W3CDTF">2026-06-27T20:37:05Z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